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obilitylabnz.sharepoint.com/sites/Projects/Shared Documents/General/1034 - Western LX Aimsun/New North Road/Received/Survey/"/>
    </mc:Choice>
  </mc:AlternateContent>
  <xr:revisionPtr revIDLastSave="10" documentId="13_ncr:1_{121EE1AD-3651-43E5-9E89-2103DA46DFFE}" xr6:coauthVersionLast="47" xr6:coauthVersionMax="47" xr10:uidLastSave="{6A6CB3FA-D566-43C2-9511-81B345D2D6D4}"/>
  <bookViews>
    <workbookView xWindow="-120" yWindow="-120" windowWidth="29040" windowHeight="17520" firstSheet="1" activeTab="2" xr2:uid="{00000000-000D-0000-FFFF-FFFF00000000}"/>
  </bookViews>
  <sheets>
    <sheet name="Raw data &amp; Hourly Summary" sheetId="1" r:id="rId1"/>
    <sheet name="Peak Hr Summary" sheetId="5" r:id="rId2"/>
    <sheet name="Intersection Diagram" sheetId="9" r:id="rId3"/>
    <sheet name="Intersection Diagram(Peak Time)" sheetId="10" r:id="rId4"/>
  </sheets>
  <definedNames>
    <definedName name="_xlnm.Print_Area" localSheetId="2">'Intersection Diagram'!$B$2:$BU$75</definedName>
    <definedName name="_xlnm.Print_Area" localSheetId="3">'Intersection Diagram(Peak Time)'!$B$2:$BU$75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O34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AQ34" i="1"/>
  <c r="AP34" i="1"/>
  <c r="AR34" i="1"/>
  <c r="AM34" i="1"/>
  <c r="AL34" i="1"/>
  <c r="AK34" i="1"/>
  <c r="AI34" i="1"/>
  <c r="AH34" i="1"/>
  <c r="AG34" i="1"/>
  <c r="AE34" i="1"/>
  <c r="AD34" i="1"/>
  <c r="AC34" i="1"/>
  <c r="AA34" i="1"/>
  <c r="Z34" i="1"/>
  <c r="Y34" i="1"/>
  <c r="W34" i="1"/>
  <c r="V34" i="1"/>
  <c r="U34" i="1"/>
  <c r="S34" i="1"/>
  <c r="R34" i="1"/>
  <c r="Q34" i="1"/>
  <c r="O34" i="1"/>
  <c r="N34" i="1"/>
  <c r="M34" i="1"/>
  <c r="K34" i="1"/>
  <c r="J34" i="1"/>
  <c r="I34" i="1"/>
  <c r="G34" i="1"/>
  <c r="F34" i="1"/>
  <c r="E34" i="1"/>
  <c r="E51" i="1"/>
  <c r="E89" i="1"/>
  <c r="E72" i="1"/>
  <c r="BK72" i="1"/>
  <c r="BJ72" i="1"/>
  <c r="BI72" i="1"/>
  <c r="BL72" i="1" s="1"/>
  <c r="BG72" i="1"/>
  <c r="BF72" i="1"/>
  <c r="BE72" i="1"/>
  <c r="BC72" i="1"/>
  <c r="BB72" i="1"/>
  <c r="BA72" i="1"/>
  <c r="AY72" i="1"/>
  <c r="AX72" i="1"/>
  <c r="AW72" i="1"/>
  <c r="AU72" i="1"/>
  <c r="AT72" i="1"/>
  <c r="AS72" i="1"/>
  <c r="AQ72" i="1"/>
  <c r="AP72" i="1"/>
  <c r="AO72" i="1"/>
  <c r="AM72" i="1"/>
  <c r="AL72" i="1"/>
  <c r="AK72" i="1"/>
  <c r="AI72" i="1"/>
  <c r="AH72" i="1"/>
  <c r="AG72" i="1"/>
  <c r="AE72" i="1"/>
  <c r="AD72" i="1"/>
  <c r="AC72" i="1"/>
  <c r="AA72" i="1"/>
  <c r="Z72" i="1"/>
  <c r="Y72" i="1"/>
  <c r="W72" i="1"/>
  <c r="V72" i="1"/>
  <c r="U72" i="1"/>
  <c r="S72" i="1"/>
  <c r="R72" i="1"/>
  <c r="Q72" i="1"/>
  <c r="O72" i="1"/>
  <c r="N72" i="1"/>
  <c r="M72" i="1"/>
  <c r="K72" i="1"/>
  <c r="J72" i="1"/>
  <c r="I72" i="1"/>
  <c r="G72" i="1"/>
  <c r="F72" i="1"/>
  <c r="AU74" i="10" l="1"/>
  <c r="P74" i="10"/>
  <c r="BR22" i="10"/>
  <c r="J22" i="10"/>
  <c r="AD12" i="10"/>
  <c r="H10" i="10"/>
  <c r="H9" i="10"/>
  <c r="H8" i="10"/>
  <c r="H6" i="10"/>
  <c r="H5" i="10"/>
  <c r="H4" i="10"/>
  <c r="H3" i="10"/>
  <c r="J23" i="9" l="1"/>
  <c r="AD12" i="9"/>
  <c r="BR23" i="9"/>
  <c r="AU74" i="9"/>
  <c r="P74" i="9"/>
  <c r="H10" i="9" l="1"/>
  <c r="H9" i="9"/>
  <c r="H8" i="9"/>
  <c r="H6" i="9"/>
  <c r="H5" i="9"/>
  <c r="H4" i="9"/>
  <c r="H3" i="9"/>
  <c r="M3" i="5" l="1"/>
  <c r="U14" i="5" s="1"/>
  <c r="O2" i="5"/>
  <c r="Q14" i="5" s="1"/>
  <c r="U3" i="5"/>
  <c r="M14" i="5" s="1"/>
  <c r="R12" i="5"/>
  <c r="I14" i="5" s="1"/>
  <c r="M12" i="5"/>
  <c r="E14" i="5" s="1"/>
  <c r="S93" i="1"/>
  <c r="AS136" i="1" s="1"/>
  <c r="U92" i="1"/>
  <c r="Y136" i="1" s="1"/>
  <c r="AA93" i="1"/>
  <c r="E136" i="1" s="1"/>
  <c r="X102" i="1"/>
  <c r="Y104" i="1" s="1"/>
  <c r="S102" i="1"/>
  <c r="E104" i="1" s="1"/>
  <c r="I19" i="5"/>
  <c r="M19" i="5" l="1"/>
  <c r="E19" i="5"/>
  <c r="U19" i="5"/>
  <c r="Q19" i="5"/>
  <c r="Y53" i="1"/>
  <c r="E53" i="1"/>
  <c r="Y15" i="1"/>
  <c r="E15" i="1"/>
  <c r="G20" i="5"/>
  <c r="F20" i="5"/>
  <c r="E20" i="5"/>
  <c r="K20" i="5"/>
  <c r="J20" i="5"/>
  <c r="I20" i="5"/>
  <c r="O20" i="5"/>
  <c r="N20" i="5"/>
  <c r="M20" i="5"/>
  <c r="S20" i="5"/>
  <c r="R20" i="5"/>
  <c r="Q20" i="5"/>
  <c r="W20" i="5"/>
  <c r="V20" i="5"/>
  <c r="U20" i="5"/>
  <c r="W15" i="5"/>
  <c r="V15" i="5"/>
  <c r="U15" i="5"/>
  <c r="S15" i="5"/>
  <c r="R15" i="5"/>
  <c r="Q15" i="5"/>
  <c r="O15" i="5"/>
  <c r="N15" i="5"/>
  <c r="M15" i="5"/>
  <c r="K15" i="5"/>
  <c r="J15" i="5"/>
  <c r="I15" i="5"/>
  <c r="G15" i="5"/>
  <c r="F15" i="5"/>
  <c r="BK165" i="1"/>
  <c r="BJ165" i="1"/>
  <c r="BI165" i="1"/>
  <c r="BK164" i="1"/>
  <c r="BL164" i="1" s="1"/>
  <c r="BJ164" i="1"/>
  <c r="BI164" i="1"/>
  <c r="BK163" i="1"/>
  <c r="BJ163" i="1"/>
  <c r="BI163" i="1"/>
  <c r="BK162" i="1"/>
  <c r="BJ162" i="1"/>
  <c r="BI162" i="1"/>
  <c r="BK161" i="1"/>
  <c r="BJ161" i="1"/>
  <c r="BI161" i="1"/>
  <c r="BL161" i="1" s="1"/>
  <c r="BK160" i="1"/>
  <c r="BJ160" i="1"/>
  <c r="BI160" i="1"/>
  <c r="BK159" i="1"/>
  <c r="BJ159" i="1"/>
  <c r="BI159" i="1"/>
  <c r="BK158" i="1"/>
  <c r="BJ158" i="1"/>
  <c r="BI158" i="1"/>
  <c r="BK157" i="1"/>
  <c r="BJ157" i="1"/>
  <c r="BI157" i="1"/>
  <c r="BK156" i="1"/>
  <c r="BL156" i="1" s="1"/>
  <c r="BJ156" i="1"/>
  <c r="BI156" i="1"/>
  <c r="BK155" i="1"/>
  <c r="BJ155" i="1"/>
  <c r="BI155" i="1"/>
  <c r="BK154" i="1"/>
  <c r="BJ154" i="1"/>
  <c r="BI154" i="1"/>
  <c r="BK153" i="1"/>
  <c r="BJ153" i="1"/>
  <c r="BI153" i="1"/>
  <c r="BK151" i="1"/>
  <c r="BJ151" i="1"/>
  <c r="BI151" i="1"/>
  <c r="BK150" i="1"/>
  <c r="BJ150" i="1"/>
  <c r="BI150" i="1"/>
  <c r="BK149" i="1"/>
  <c r="BJ149" i="1"/>
  <c r="BI149" i="1"/>
  <c r="BK148" i="1"/>
  <c r="BJ148" i="1"/>
  <c r="BI148" i="1"/>
  <c r="BK147" i="1"/>
  <c r="BL147" i="1" s="1"/>
  <c r="BJ147" i="1"/>
  <c r="BI147" i="1"/>
  <c r="BK146" i="1"/>
  <c r="BJ146" i="1"/>
  <c r="BI146" i="1"/>
  <c r="BK145" i="1"/>
  <c r="BJ145" i="1"/>
  <c r="BI145" i="1"/>
  <c r="BK144" i="1"/>
  <c r="BJ144" i="1"/>
  <c r="BI144" i="1"/>
  <c r="BK143" i="1"/>
  <c r="BJ143" i="1"/>
  <c r="BI143" i="1"/>
  <c r="BK142" i="1"/>
  <c r="BJ142" i="1"/>
  <c r="BI142" i="1"/>
  <c r="BK141" i="1"/>
  <c r="BJ141" i="1"/>
  <c r="BI141" i="1"/>
  <c r="BK140" i="1"/>
  <c r="BJ140" i="1"/>
  <c r="BI140" i="1"/>
  <c r="BK139" i="1"/>
  <c r="BL139" i="1" s="1"/>
  <c r="BJ139" i="1"/>
  <c r="BI139" i="1"/>
  <c r="BG165" i="1"/>
  <c r="BF165" i="1"/>
  <c r="BE165" i="1"/>
  <c r="BG164" i="1"/>
  <c r="BF164" i="1"/>
  <c r="BE164" i="1"/>
  <c r="BG163" i="1"/>
  <c r="BF163" i="1"/>
  <c r="BE163" i="1"/>
  <c r="BH163" i="1" s="1"/>
  <c r="BG162" i="1"/>
  <c r="BF162" i="1"/>
  <c r="BE162" i="1"/>
  <c r="BG161" i="1"/>
  <c r="BF161" i="1"/>
  <c r="BE161" i="1"/>
  <c r="BG160" i="1"/>
  <c r="BF160" i="1"/>
  <c r="BE160" i="1"/>
  <c r="BG159" i="1"/>
  <c r="BF159" i="1"/>
  <c r="BE159" i="1"/>
  <c r="BG158" i="1"/>
  <c r="BH158" i="1" s="1"/>
  <c r="BF158" i="1"/>
  <c r="BE158" i="1"/>
  <c r="BG157" i="1"/>
  <c r="BF157" i="1"/>
  <c r="BE157" i="1"/>
  <c r="BG156" i="1"/>
  <c r="BF156" i="1"/>
  <c r="BE156" i="1"/>
  <c r="BG155" i="1"/>
  <c r="BF155" i="1"/>
  <c r="BE155" i="1"/>
  <c r="BH155" i="1" s="1"/>
  <c r="BG154" i="1"/>
  <c r="BF154" i="1"/>
  <c r="BE154" i="1"/>
  <c r="BG153" i="1"/>
  <c r="BF153" i="1"/>
  <c r="BE153" i="1"/>
  <c r="BG151" i="1"/>
  <c r="BF151" i="1"/>
  <c r="BE151" i="1"/>
  <c r="BG150" i="1"/>
  <c r="BF150" i="1"/>
  <c r="BE150" i="1"/>
  <c r="BG149" i="1"/>
  <c r="BH149" i="1" s="1"/>
  <c r="BF149" i="1"/>
  <c r="BE149" i="1"/>
  <c r="BG148" i="1"/>
  <c r="BF148" i="1"/>
  <c r="BE148" i="1"/>
  <c r="BG147" i="1"/>
  <c r="BF147" i="1"/>
  <c r="BE147" i="1"/>
  <c r="BG146" i="1"/>
  <c r="BF146" i="1"/>
  <c r="BE146" i="1"/>
  <c r="BH146" i="1" s="1"/>
  <c r="BG145" i="1"/>
  <c r="BF145" i="1"/>
  <c r="BE145" i="1"/>
  <c r="BG144" i="1"/>
  <c r="BF144" i="1"/>
  <c r="BE144" i="1"/>
  <c r="BG143" i="1"/>
  <c r="BF143" i="1"/>
  <c r="BE143" i="1"/>
  <c r="BG142" i="1"/>
  <c r="BF142" i="1"/>
  <c r="BE142" i="1"/>
  <c r="BG141" i="1"/>
  <c r="BH141" i="1" s="1"/>
  <c r="BF141" i="1"/>
  <c r="BE141" i="1"/>
  <c r="BG140" i="1"/>
  <c r="BF140" i="1"/>
  <c r="BE140" i="1"/>
  <c r="BG139" i="1"/>
  <c r="BF139" i="1"/>
  <c r="BE139" i="1"/>
  <c r="BC165" i="1"/>
  <c r="BB165" i="1"/>
  <c r="BA165" i="1"/>
  <c r="BD165" i="1" s="1"/>
  <c r="BC164" i="1"/>
  <c r="BB164" i="1"/>
  <c r="BA164" i="1"/>
  <c r="BC163" i="1"/>
  <c r="BB163" i="1"/>
  <c r="BA163" i="1"/>
  <c r="BC162" i="1"/>
  <c r="BB162" i="1"/>
  <c r="BA162" i="1"/>
  <c r="BC161" i="1"/>
  <c r="BB161" i="1"/>
  <c r="BA161" i="1"/>
  <c r="BC160" i="1"/>
  <c r="BD160" i="1" s="1"/>
  <c r="BB160" i="1"/>
  <c r="BA160" i="1"/>
  <c r="BC159" i="1"/>
  <c r="BB159" i="1"/>
  <c r="BA159" i="1"/>
  <c r="BC158" i="1"/>
  <c r="BB158" i="1"/>
  <c r="BA158" i="1"/>
  <c r="BC157" i="1"/>
  <c r="BB157" i="1"/>
  <c r="BA157" i="1"/>
  <c r="BC156" i="1"/>
  <c r="BB156" i="1"/>
  <c r="BA156" i="1"/>
  <c r="BC155" i="1"/>
  <c r="BB155" i="1"/>
  <c r="BA155" i="1"/>
  <c r="BC154" i="1"/>
  <c r="BB154" i="1"/>
  <c r="BA154" i="1"/>
  <c r="BC153" i="1"/>
  <c r="BB153" i="1"/>
  <c r="BA153" i="1"/>
  <c r="BC151" i="1"/>
  <c r="BD151" i="1" s="1"/>
  <c r="BB151" i="1"/>
  <c r="BA151" i="1"/>
  <c r="BC150" i="1"/>
  <c r="BB150" i="1"/>
  <c r="BA150" i="1"/>
  <c r="BC149" i="1"/>
  <c r="BB149" i="1"/>
  <c r="BA149" i="1"/>
  <c r="BC148" i="1"/>
  <c r="BB148" i="1"/>
  <c r="BA148" i="1"/>
  <c r="BD148" i="1" s="1"/>
  <c r="BC147" i="1"/>
  <c r="BB147" i="1"/>
  <c r="BA147" i="1"/>
  <c r="BC146" i="1"/>
  <c r="BB146" i="1"/>
  <c r="BA146" i="1"/>
  <c r="BC145" i="1"/>
  <c r="BB145" i="1"/>
  <c r="BA145" i="1"/>
  <c r="BC144" i="1"/>
  <c r="BB144" i="1"/>
  <c r="BA144" i="1"/>
  <c r="BC143" i="1"/>
  <c r="BD143" i="1" s="1"/>
  <c r="BB143" i="1"/>
  <c r="BA143" i="1"/>
  <c r="BC142" i="1"/>
  <c r="BB142" i="1"/>
  <c r="BA142" i="1"/>
  <c r="BC141" i="1"/>
  <c r="BB141" i="1"/>
  <c r="BA141" i="1"/>
  <c r="BC140" i="1"/>
  <c r="BB140" i="1"/>
  <c r="BA140" i="1"/>
  <c r="BD140" i="1" s="1"/>
  <c r="BC139" i="1"/>
  <c r="BB139" i="1"/>
  <c r="BA139" i="1"/>
  <c r="BD139" i="1" s="1"/>
  <c r="AY165" i="1"/>
  <c r="AX165" i="1"/>
  <c r="AW165" i="1"/>
  <c r="AY164" i="1"/>
  <c r="AX164" i="1"/>
  <c r="AW164" i="1"/>
  <c r="AY163" i="1"/>
  <c r="AX163" i="1"/>
  <c r="AW163" i="1"/>
  <c r="AY162" i="1"/>
  <c r="AZ162" i="1" s="1"/>
  <c r="AX162" i="1"/>
  <c r="AW162" i="1"/>
  <c r="AY161" i="1"/>
  <c r="AX161" i="1"/>
  <c r="AW161" i="1"/>
  <c r="AY160" i="1"/>
  <c r="AX160" i="1"/>
  <c r="AW160" i="1"/>
  <c r="AY159" i="1"/>
  <c r="AX159" i="1"/>
  <c r="AW159" i="1"/>
  <c r="AY158" i="1"/>
  <c r="AX158" i="1"/>
  <c r="AW158" i="1"/>
  <c r="AY157" i="1"/>
  <c r="AX157" i="1"/>
  <c r="AW157" i="1"/>
  <c r="AY156" i="1"/>
  <c r="AX156" i="1"/>
  <c r="AW156" i="1"/>
  <c r="AY155" i="1"/>
  <c r="AX155" i="1"/>
  <c r="AW155" i="1"/>
  <c r="AY154" i="1"/>
  <c r="AX154" i="1"/>
  <c r="AW154" i="1"/>
  <c r="AY153" i="1"/>
  <c r="AX153" i="1"/>
  <c r="AW153" i="1"/>
  <c r="AY151" i="1"/>
  <c r="AX151" i="1"/>
  <c r="AW151" i="1"/>
  <c r="AY150" i="1"/>
  <c r="AX150" i="1"/>
  <c r="AW150" i="1"/>
  <c r="AY149" i="1"/>
  <c r="AX149" i="1"/>
  <c r="AW149" i="1"/>
  <c r="AY148" i="1"/>
  <c r="AX148" i="1"/>
  <c r="AW148" i="1"/>
  <c r="AY147" i="1"/>
  <c r="AX147" i="1"/>
  <c r="AW147" i="1"/>
  <c r="AY146" i="1"/>
  <c r="AX146" i="1"/>
  <c r="AW146" i="1"/>
  <c r="AY145" i="1"/>
  <c r="AX145" i="1"/>
  <c r="AW145" i="1"/>
  <c r="AY144" i="1"/>
  <c r="AX144" i="1"/>
  <c r="AW144" i="1"/>
  <c r="AY143" i="1"/>
  <c r="AX143" i="1"/>
  <c r="AW143" i="1"/>
  <c r="AY142" i="1"/>
  <c r="AX142" i="1"/>
  <c r="AW142" i="1"/>
  <c r="AZ142" i="1" s="1"/>
  <c r="AY141" i="1"/>
  <c r="AX141" i="1"/>
  <c r="AW141" i="1"/>
  <c r="AY140" i="1"/>
  <c r="AX140" i="1"/>
  <c r="AW140" i="1"/>
  <c r="AY139" i="1"/>
  <c r="AX139" i="1"/>
  <c r="AW139" i="1"/>
  <c r="AU165" i="1"/>
  <c r="AT165" i="1"/>
  <c r="AS165" i="1"/>
  <c r="AU164" i="1"/>
  <c r="AT164" i="1"/>
  <c r="AS164" i="1"/>
  <c r="AU163" i="1"/>
  <c r="AT163" i="1"/>
  <c r="AS163" i="1"/>
  <c r="AU162" i="1"/>
  <c r="AT162" i="1"/>
  <c r="AS162" i="1"/>
  <c r="AU161" i="1"/>
  <c r="AT161" i="1"/>
  <c r="AS161" i="1"/>
  <c r="AU160" i="1"/>
  <c r="AT160" i="1"/>
  <c r="AS160" i="1"/>
  <c r="AU159" i="1"/>
  <c r="AV159" i="1" s="1"/>
  <c r="AT159" i="1"/>
  <c r="AS159" i="1"/>
  <c r="AU158" i="1"/>
  <c r="AT158" i="1"/>
  <c r="AS158" i="1"/>
  <c r="AU157" i="1"/>
  <c r="AT157" i="1"/>
  <c r="AS157" i="1"/>
  <c r="AU156" i="1"/>
  <c r="AT156" i="1"/>
  <c r="AS156" i="1"/>
  <c r="AU155" i="1"/>
  <c r="AT155" i="1"/>
  <c r="AS155" i="1"/>
  <c r="AU154" i="1"/>
  <c r="AT154" i="1"/>
  <c r="AS154" i="1"/>
  <c r="AU153" i="1"/>
  <c r="AT153" i="1"/>
  <c r="AS153" i="1"/>
  <c r="AU151" i="1"/>
  <c r="AT151" i="1"/>
  <c r="AS151" i="1"/>
  <c r="AV151" i="1" s="1"/>
  <c r="AU150" i="1"/>
  <c r="AT150" i="1"/>
  <c r="AS150" i="1"/>
  <c r="AU149" i="1"/>
  <c r="AT149" i="1"/>
  <c r="AS149" i="1"/>
  <c r="AU148" i="1"/>
  <c r="AT148" i="1"/>
  <c r="AS148" i="1"/>
  <c r="AU147" i="1"/>
  <c r="AT147" i="1"/>
  <c r="AS147" i="1"/>
  <c r="AU146" i="1"/>
  <c r="AT146" i="1"/>
  <c r="AS146" i="1"/>
  <c r="AU145" i="1"/>
  <c r="AT145" i="1"/>
  <c r="AS145" i="1"/>
  <c r="AU144" i="1"/>
  <c r="AT144" i="1"/>
  <c r="AS144" i="1"/>
  <c r="AU143" i="1"/>
  <c r="AT143" i="1"/>
  <c r="AS143" i="1"/>
  <c r="AV143" i="1" s="1"/>
  <c r="AU142" i="1"/>
  <c r="AT142" i="1"/>
  <c r="AS142" i="1"/>
  <c r="AU141" i="1"/>
  <c r="AT141" i="1"/>
  <c r="AS141" i="1"/>
  <c r="AU140" i="1"/>
  <c r="AT140" i="1"/>
  <c r="AS140" i="1"/>
  <c r="AU139" i="1"/>
  <c r="AT139" i="1"/>
  <c r="AS139" i="1"/>
  <c r="AQ165" i="1"/>
  <c r="AP165" i="1"/>
  <c r="AO165" i="1"/>
  <c r="AQ164" i="1"/>
  <c r="AP164" i="1"/>
  <c r="AO164" i="1"/>
  <c r="AQ163" i="1"/>
  <c r="AP163" i="1"/>
  <c r="AO163" i="1"/>
  <c r="AR163" i="1" s="1"/>
  <c r="AQ162" i="1"/>
  <c r="AP162" i="1"/>
  <c r="AO162" i="1"/>
  <c r="AQ161" i="1"/>
  <c r="AP161" i="1"/>
  <c r="AO161" i="1"/>
  <c r="AQ160" i="1"/>
  <c r="AP160" i="1"/>
  <c r="AO160" i="1"/>
  <c r="AQ159" i="1"/>
  <c r="AP159" i="1"/>
  <c r="AO159" i="1"/>
  <c r="AQ158" i="1"/>
  <c r="AR158" i="1" s="1"/>
  <c r="AP158" i="1"/>
  <c r="AO158" i="1"/>
  <c r="AQ157" i="1"/>
  <c r="AP157" i="1"/>
  <c r="AO157" i="1"/>
  <c r="AQ156" i="1"/>
  <c r="AP156" i="1"/>
  <c r="AO156" i="1"/>
  <c r="AQ155" i="1"/>
  <c r="AP155" i="1"/>
  <c r="AO155" i="1"/>
  <c r="AR155" i="1" s="1"/>
  <c r="AQ154" i="1"/>
  <c r="AP154" i="1"/>
  <c r="AO154" i="1"/>
  <c r="AQ153" i="1"/>
  <c r="AP153" i="1"/>
  <c r="AO153" i="1"/>
  <c r="AQ151" i="1"/>
  <c r="AP151" i="1"/>
  <c r="AO151" i="1"/>
  <c r="AQ150" i="1"/>
  <c r="AP150" i="1"/>
  <c r="AO150" i="1"/>
  <c r="AQ149" i="1"/>
  <c r="AR149" i="1" s="1"/>
  <c r="AP149" i="1"/>
  <c r="AO149" i="1"/>
  <c r="AQ148" i="1"/>
  <c r="AP148" i="1"/>
  <c r="AO148" i="1"/>
  <c r="AQ147" i="1"/>
  <c r="AP147" i="1"/>
  <c r="AO147" i="1"/>
  <c r="AQ146" i="1"/>
  <c r="AP146" i="1"/>
  <c r="AO146" i="1"/>
  <c r="AR146" i="1" s="1"/>
  <c r="AQ145" i="1"/>
  <c r="AP145" i="1"/>
  <c r="AO145" i="1"/>
  <c r="AQ144" i="1"/>
  <c r="AP144" i="1"/>
  <c r="AO144" i="1"/>
  <c r="AQ143" i="1"/>
  <c r="AP143" i="1"/>
  <c r="AO143" i="1"/>
  <c r="AQ142" i="1"/>
  <c r="AP142" i="1"/>
  <c r="AO142" i="1"/>
  <c r="AQ141" i="1"/>
  <c r="AR141" i="1" s="1"/>
  <c r="AP141" i="1"/>
  <c r="AO141" i="1"/>
  <c r="AQ140" i="1"/>
  <c r="AP140" i="1"/>
  <c r="AO140" i="1"/>
  <c r="AQ139" i="1"/>
  <c r="AP139" i="1"/>
  <c r="AO139" i="1"/>
  <c r="AM165" i="1"/>
  <c r="AL165" i="1"/>
  <c r="AK165" i="1"/>
  <c r="AN165" i="1" s="1"/>
  <c r="AM164" i="1"/>
  <c r="AL164" i="1"/>
  <c r="AK164" i="1"/>
  <c r="AM163" i="1"/>
  <c r="AL163" i="1"/>
  <c r="AK163" i="1"/>
  <c r="AM162" i="1"/>
  <c r="AL162" i="1"/>
  <c r="AK162" i="1"/>
  <c r="AM161" i="1"/>
  <c r="AL161" i="1"/>
  <c r="AK161" i="1"/>
  <c r="AM160" i="1"/>
  <c r="AN160" i="1" s="1"/>
  <c r="AL160" i="1"/>
  <c r="AK160" i="1"/>
  <c r="AM159" i="1"/>
  <c r="AL159" i="1"/>
  <c r="AK159" i="1"/>
  <c r="AM158" i="1"/>
  <c r="AL158" i="1"/>
  <c r="AK158" i="1"/>
  <c r="AM157" i="1"/>
  <c r="AL157" i="1"/>
  <c r="AK157" i="1"/>
  <c r="AN157" i="1" s="1"/>
  <c r="AM156" i="1"/>
  <c r="AL156" i="1"/>
  <c r="AK156" i="1"/>
  <c r="AM155" i="1"/>
  <c r="AL155" i="1"/>
  <c r="AK155" i="1"/>
  <c r="AM154" i="1"/>
  <c r="AL154" i="1"/>
  <c r="AK154" i="1"/>
  <c r="AM153" i="1"/>
  <c r="AL153" i="1"/>
  <c r="AK153" i="1"/>
  <c r="AM151" i="1"/>
  <c r="AN151" i="1" s="1"/>
  <c r="AL151" i="1"/>
  <c r="AK151" i="1"/>
  <c r="AM150" i="1"/>
  <c r="AL150" i="1"/>
  <c r="AK150" i="1"/>
  <c r="AM149" i="1"/>
  <c r="AL149" i="1"/>
  <c r="AK149" i="1"/>
  <c r="AM148" i="1"/>
  <c r="AL148" i="1"/>
  <c r="AK148" i="1"/>
  <c r="AN148" i="1" s="1"/>
  <c r="AM147" i="1"/>
  <c r="AL147" i="1"/>
  <c r="AK147" i="1"/>
  <c r="AM146" i="1"/>
  <c r="AL146" i="1"/>
  <c r="AK146" i="1"/>
  <c r="AM145" i="1"/>
  <c r="AL145" i="1"/>
  <c r="AK145" i="1"/>
  <c r="AM144" i="1"/>
  <c r="AL144" i="1"/>
  <c r="AK144" i="1"/>
  <c r="AM143" i="1"/>
  <c r="AN143" i="1" s="1"/>
  <c r="AL143" i="1"/>
  <c r="AK143" i="1"/>
  <c r="AM142" i="1"/>
  <c r="AL142" i="1"/>
  <c r="AK142" i="1"/>
  <c r="AM141" i="1"/>
  <c r="AL141" i="1"/>
  <c r="AK141" i="1"/>
  <c r="AM140" i="1"/>
  <c r="AL140" i="1"/>
  <c r="AK140" i="1"/>
  <c r="AN140" i="1" s="1"/>
  <c r="AM139" i="1"/>
  <c r="AL139" i="1"/>
  <c r="AK139" i="1"/>
  <c r="AI165" i="1"/>
  <c r="AH165" i="1"/>
  <c r="AG165" i="1"/>
  <c r="AI164" i="1"/>
  <c r="AH164" i="1"/>
  <c r="AG164" i="1"/>
  <c r="AI163" i="1"/>
  <c r="AH163" i="1"/>
  <c r="AG163" i="1"/>
  <c r="AI162" i="1"/>
  <c r="AJ162" i="1" s="1"/>
  <c r="AH162" i="1"/>
  <c r="AG162" i="1"/>
  <c r="AI161" i="1"/>
  <c r="AH161" i="1"/>
  <c r="AG161" i="1"/>
  <c r="AI160" i="1"/>
  <c r="AH160" i="1"/>
  <c r="AG160" i="1"/>
  <c r="AI159" i="1"/>
  <c r="AH159" i="1"/>
  <c r="AG159" i="1"/>
  <c r="AJ159" i="1" s="1"/>
  <c r="AI158" i="1"/>
  <c r="AH158" i="1"/>
  <c r="AG158" i="1"/>
  <c r="AI157" i="1"/>
  <c r="AH157" i="1"/>
  <c r="AG157" i="1"/>
  <c r="AI156" i="1"/>
  <c r="AH156" i="1"/>
  <c r="AG156" i="1"/>
  <c r="AI155" i="1"/>
  <c r="AH155" i="1"/>
  <c r="AG155" i="1"/>
  <c r="AI154" i="1"/>
  <c r="AJ154" i="1" s="1"/>
  <c r="AH154" i="1"/>
  <c r="AG154" i="1"/>
  <c r="AI153" i="1"/>
  <c r="AH153" i="1"/>
  <c r="AG153" i="1"/>
  <c r="AI151" i="1"/>
  <c r="AH151" i="1"/>
  <c r="AG151" i="1"/>
  <c r="AI150" i="1"/>
  <c r="AH150" i="1"/>
  <c r="AG150" i="1"/>
  <c r="AJ150" i="1" s="1"/>
  <c r="AI149" i="1"/>
  <c r="AH149" i="1"/>
  <c r="AG149" i="1"/>
  <c r="AI148" i="1"/>
  <c r="AH148" i="1"/>
  <c r="AG148" i="1"/>
  <c r="AI147" i="1"/>
  <c r="AH147" i="1"/>
  <c r="AG147" i="1"/>
  <c r="AI146" i="1"/>
  <c r="AH146" i="1"/>
  <c r="AG146" i="1"/>
  <c r="AI145" i="1"/>
  <c r="AJ145" i="1" s="1"/>
  <c r="AH145" i="1"/>
  <c r="AG145" i="1"/>
  <c r="AI144" i="1"/>
  <c r="AH144" i="1"/>
  <c r="AG144" i="1"/>
  <c r="AI143" i="1"/>
  <c r="AH143" i="1"/>
  <c r="AG143" i="1"/>
  <c r="AI142" i="1"/>
  <c r="AH142" i="1"/>
  <c r="AG142" i="1"/>
  <c r="AI141" i="1"/>
  <c r="AH141" i="1"/>
  <c r="AG141" i="1"/>
  <c r="AI140" i="1"/>
  <c r="AH140" i="1"/>
  <c r="AG140" i="1"/>
  <c r="AI139" i="1"/>
  <c r="AH139" i="1"/>
  <c r="AG139" i="1"/>
  <c r="AE165" i="1"/>
  <c r="AD165" i="1"/>
  <c r="AC165" i="1"/>
  <c r="AE164" i="1"/>
  <c r="AF164" i="1" s="1"/>
  <c r="AD164" i="1"/>
  <c r="AC164" i="1"/>
  <c r="AE163" i="1"/>
  <c r="AD163" i="1"/>
  <c r="AC163" i="1"/>
  <c r="AE162" i="1"/>
  <c r="AD162" i="1"/>
  <c r="AC162" i="1"/>
  <c r="AE161" i="1"/>
  <c r="AD161" i="1"/>
  <c r="AC161" i="1"/>
  <c r="AF161" i="1" s="1"/>
  <c r="AE160" i="1"/>
  <c r="AD160" i="1"/>
  <c r="AC160" i="1"/>
  <c r="AE159" i="1"/>
  <c r="AD159" i="1"/>
  <c r="AC159" i="1"/>
  <c r="AE158" i="1"/>
  <c r="AD158" i="1"/>
  <c r="AC158" i="1"/>
  <c r="AE157" i="1"/>
  <c r="AD157" i="1"/>
  <c r="AC157" i="1"/>
  <c r="AE156" i="1"/>
  <c r="AF156" i="1" s="1"/>
  <c r="AD156" i="1"/>
  <c r="AC156" i="1"/>
  <c r="AE155" i="1"/>
  <c r="AD155" i="1"/>
  <c r="AC155" i="1"/>
  <c r="AE154" i="1"/>
  <c r="AD154" i="1"/>
  <c r="AC154" i="1"/>
  <c r="AE153" i="1"/>
  <c r="AD153" i="1"/>
  <c r="AC153" i="1"/>
  <c r="AF153" i="1" s="1"/>
  <c r="AE151" i="1"/>
  <c r="AD151" i="1"/>
  <c r="AC151" i="1"/>
  <c r="AE150" i="1"/>
  <c r="AD150" i="1"/>
  <c r="AC150" i="1"/>
  <c r="AE149" i="1"/>
  <c r="AD149" i="1"/>
  <c r="AC149" i="1"/>
  <c r="AE148" i="1"/>
  <c r="AD148" i="1"/>
  <c r="AC148" i="1"/>
  <c r="AE147" i="1"/>
  <c r="AF147" i="1" s="1"/>
  <c r="AD147" i="1"/>
  <c r="AC147" i="1"/>
  <c r="AE146" i="1"/>
  <c r="AD146" i="1"/>
  <c r="AC146" i="1"/>
  <c r="AE145" i="1"/>
  <c r="AD145" i="1"/>
  <c r="AC145" i="1"/>
  <c r="AE144" i="1"/>
  <c r="AD144" i="1"/>
  <c r="AC144" i="1"/>
  <c r="AE143" i="1"/>
  <c r="AD143" i="1"/>
  <c r="AC143" i="1"/>
  <c r="AE142" i="1"/>
  <c r="AD142" i="1"/>
  <c r="AC142" i="1"/>
  <c r="AE141" i="1"/>
  <c r="AD141" i="1"/>
  <c r="AC141" i="1"/>
  <c r="AE140" i="1"/>
  <c r="AD140" i="1"/>
  <c r="AC140" i="1"/>
  <c r="AE139" i="1"/>
  <c r="AF139" i="1" s="1"/>
  <c r="AD139" i="1"/>
  <c r="AC139" i="1"/>
  <c r="AA165" i="1"/>
  <c r="Z165" i="1"/>
  <c r="Y165" i="1"/>
  <c r="AA164" i="1"/>
  <c r="Z164" i="1"/>
  <c r="Y164" i="1"/>
  <c r="AA163" i="1"/>
  <c r="Z163" i="1"/>
  <c r="Y163" i="1"/>
  <c r="AB163" i="1" s="1"/>
  <c r="AA162" i="1"/>
  <c r="Z162" i="1"/>
  <c r="Y162" i="1"/>
  <c r="AA161" i="1"/>
  <c r="Z161" i="1"/>
  <c r="Y161" i="1"/>
  <c r="AA160" i="1"/>
  <c r="Z160" i="1"/>
  <c r="Y160" i="1"/>
  <c r="AA159" i="1"/>
  <c r="Z159" i="1"/>
  <c r="Y159" i="1"/>
  <c r="AA158" i="1"/>
  <c r="Z158" i="1"/>
  <c r="Y158" i="1"/>
  <c r="AA157" i="1"/>
  <c r="Z157" i="1"/>
  <c r="Y157" i="1"/>
  <c r="AA156" i="1"/>
  <c r="Z156" i="1"/>
  <c r="Y156" i="1"/>
  <c r="AA155" i="1"/>
  <c r="Z155" i="1"/>
  <c r="Y155" i="1"/>
  <c r="AB155" i="1" s="1"/>
  <c r="AA154" i="1"/>
  <c r="Z154" i="1"/>
  <c r="Y154" i="1"/>
  <c r="AA153" i="1"/>
  <c r="Z153" i="1"/>
  <c r="Y153" i="1"/>
  <c r="AA151" i="1"/>
  <c r="Z151" i="1"/>
  <c r="Y151" i="1"/>
  <c r="AA150" i="1"/>
  <c r="Z150" i="1"/>
  <c r="Y150" i="1"/>
  <c r="AA149" i="1"/>
  <c r="Z149" i="1"/>
  <c r="Y149" i="1"/>
  <c r="AA148" i="1"/>
  <c r="Z148" i="1"/>
  <c r="Y148" i="1"/>
  <c r="AA147" i="1"/>
  <c r="Z147" i="1"/>
  <c r="Y147" i="1"/>
  <c r="AA146" i="1"/>
  <c r="Z146" i="1"/>
  <c r="Y146" i="1"/>
  <c r="AB146" i="1" s="1"/>
  <c r="AA145" i="1"/>
  <c r="Z145" i="1"/>
  <c r="Y145" i="1"/>
  <c r="AA144" i="1"/>
  <c r="Z144" i="1"/>
  <c r="Y144" i="1"/>
  <c r="AA143" i="1"/>
  <c r="Z143" i="1"/>
  <c r="Y143" i="1"/>
  <c r="AA142" i="1"/>
  <c r="Z142" i="1"/>
  <c r="Y142" i="1"/>
  <c r="AA141" i="1"/>
  <c r="Z141" i="1"/>
  <c r="Y141" i="1"/>
  <c r="AA140" i="1"/>
  <c r="Z140" i="1"/>
  <c r="Y140" i="1"/>
  <c r="AA139" i="1"/>
  <c r="Z139" i="1"/>
  <c r="Y139" i="1"/>
  <c r="W165" i="1"/>
  <c r="V165" i="1"/>
  <c r="U165" i="1"/>
  <c r="X165" i="1" s="1"/>
  <c r="W164" i="1"/>
  <c r="V164" i="1"/>
  <c r="U164" i="1"/>
  <c r="W163" i="1"/>
  <c r="V163" i="1"/>
  <c r="U163" i="1"/>
  <c r="W162" i="1"/>
  <c r="V162" i="1"/>
  <c r="U162" i="1"/>
  <c r="W161" i="1"/>
  <c r="V161" i="1"/>
  <c r="U161" i="1"/>
  <c r="W160" i="1"/>
  <c r="X160" i="1" s="1"/>
  <c r="V160" i="1"/>
  <c r="U160" i="1"/>
  <c r="W159" i="1"/>
  <c r="V159" i="1"/>
  <c r="U159" i="1"/>
  <c r="W158" i="1"/>
  <c r="V158" i="1"/>
  <c r="U158" i="1"/>
  <c r="W157" i="1"/>
  <c r="V157" i="1"/>
  <c r="U157" i="1"/>
  <c r="X157" i="1" s="1"/>
  <c r="W156" i="1"/>
  <c r="V156" i="1"/>
  <c r="U156" i="1"/>
  <c r="W155" i="1"/>
  <c r="V155" i="1"/>
  <c r="U155" i="1"/>
  <c r="W154" i="1"/>
  <c r="V154" i="1"/>
  <c r="U154" i="1"/>
  <c r="W153" i="1"/>
  <c r="V153" i="1"/>
  <c r="U153" i="1"/>
  <c r="W151" i="1"/>
  <c r="X151" i="1" s="1"/>
  <c r="V151" i="1"/>
  <c r="U151" i="1"/>
  <c r="W150" i="1"/>
  <c r="V150" i="1"/>
  <c r="U150" i="1"/>
  <c r="W149" i="1"/>
  <c r="V149" i="1"/>
  <c r="U149" i="1"/>
  <c r="W148" i="1"/>
  <c r="V148" i="1"/>
  <c r="U148" i="1"/>
  <c r="X148" i="1" s="1"/>
  <c r="W147" i="1"/>
  <c r="V147" i="1"/>
  <c r="U147" i="1"/>
  <c r="W146" i="1"/>
  <c r="V146" i="1"/>
  <c r="U146" i="1"/>
  <c r="W145" i="1"/>
  <c r="V145" i="1"/>
  <c r="U145" i="1"/>
  <c r="W144" i="1"/>
  <c r="V144" i="1"/>
  <c r="U144" i="1"/>
  <c r="W143" i="1"/>
  <c r="X143" i="1" s="1"/>
  <c r="V143" i="1"/>
  <c r="U143" i="1"/>
  <c r="W142" i="1"/>
  <c r="V142" i="1"/>
  <c r="U142" i="1"/>
  <c r="W141" i="1"/>
  <c r="V141" i="1"/>
  <c r="U141" i="1"/>
  <c r="W140" i="1"/>
  <c r="V140" i="1"/>
  <c r="U140" i="1"/>
  <c r="X140" i="1" s="1"/>
  <c r="W139" i="1"/>
  <c r="V139" i="1"/>
  <c r="U139" i="1"/>
  <c r="S165" i="1"/>
  <c r="R165" i="1"/>
  <c r="Q165" i="1"/>
  <c r="S164" i="1"/>
  <c r="R164" i="1"/>
  <c r="Q164" i="1"/>
  <c r="S163" i="1"/>
  <c r="R163" i="1"/>
  <c r="Q163" i="1"/>
  <c r="S162" i="1"/>
  <c r="T162" i="1" s="1"/>
  <c r="R162" i="1"/>
  <c r="Q162" i="1"/>
  <c r="S161" i="1"/>
  <c r="R161" i="1"/>
  <c r="Q161" i="1"/>
  <c r="S160" i="1"/>
  <c r="R160" i="1"/>
  <c r="Q160" i="1"/>
  <c r="S159" i="1"/>
  <c r="R159" i="1"/>
  <c r="Q159" i="1"/>
  <c r="T159" i="1" s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T154" i="1" s="1"/>
  <c r="R154" i="1"/>
  <c r="Q154" i="1"/>
  <c r="S153" i="1"/>
  <c r="R153" i="1"/>
  <c r="Q153" i="1"/>
  <c r="S151" i="1"/>
  <c r="R151" i="1"/>
  <c r="Q151" i="1"/>
  <c r="S150" i="1"/>
  <c r="R150" i="1"/>
  <c r="Q150" i="1"/>
  <c r="T150" i="1" s="1"/>
  <c r="S149" i="1"/>
  <c r="R149" i="1"/>
  <c r="Q149" i="1"/>
  <c r="S148" i="1"/>
  <c r="R148" i="1"/>
  <c r="Q148" i="1"/>
  <c r="S147" i="1"/>
  <c r="R147" i="1"/>
  <c r="Q147" i="1"/>
  <c r="S146" i="1"/>
  <c r="R146" i="1"/>
  <c r="Q146" i="1"/>
  <c r="T146" i="1" s="1"/>
  <c r="S145" i="1"/>
  <c r="T145" i="1" s="1"/>
  <c r="R145" i="1"/>
  <c r="Q145" i="1"/>
  <c r="S144" i="1"/>
  <c r="R144" i="1"/>
  <c r="Q144" i="1"/>
  <c r="S143" i="1"/>
  <c r="R143" i="1"/>
  <c r="Q143" i="1"/>
  <c r="S142" i="1"/>
  <c r="R142" i="1"/>
  <c r="Q142" i="1"/>
  <c r="T142" i="1" s="1"/>
  <c r="S141" i="1"/>
  <c r="R141" i="1"/>
  <c r="Q141" i="1"/>
  <c r="S140" i="1"/>
  <c r="R140" i="1"/>
  <c r="Q140" i="1"/>
  <c r="S139" i="1"/>
  <c r="R139" i="1"/>
  <c r="Q139" i="1"/>
  <c r="O165" i="1"/>
  <c r="N165" i="1"/>
  <c r="M165" i="1"/>
  <c r="O164" i="1"/>
  <c r="P164" i="1" s="1"/>
  <c r="N164" i="1"/>
  <c r="M164" i="1"/>
  <c r="O163" i="1"/>
  <c r="N163" i="1"/>
  <c r="M163" i="1"/>
  <c r="O162" i="1"/>
  <c r="N162" i="1"/>
  <c r="M162" i="1"/>
  <c r="O161" i="1"/>
  <c r="N161" i="1"/>
  <c r="M161" i="1"/>
  <c r="P161" i="1" s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P156" i="1" s="1"/>
  <c r="N156" i="1"/>
  <c r="M156" i="1"/>
  <c r="O155" i="1"/>
  <c r="N155" i="1"/>
  <c r="M155" i="1"/>
  <c r="O154" i="1"/>
  <c r="N154" i="1"/>
  <c r="M154" i="1"/>
  <c r="O153" i="1"/>
  <c r="N153" i="1"/>
  <c r="M153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P147" i="1" s="1"/>
  <c r="N147" i="1"/>
  <c r="M147" i="1"/>
  <c r="O146" i="1"/>
  <c r="N146" i="1"/>
  <c r="M146" i="1"/>
  <c r="O145" i="1"/>
  <c r="N145" i="1"/>
  <c r="M145" i="1"/>
  <c r="O144" i="1"/>
  <c r="N144" i="1"/>
  <c r="M144" i="1"/>
  <c r="P144" i="1" s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P139" i="1" s="1"/>
  <c r="N139" i="1"/>
  <c r="M139" i="1"/>
  <c r="K165" i="1"/>
  <c r="J165" i="1"/>
  <c r="I165" i="1"/>
  <c r="K164" i="1"/>
  <c r="J164" i="1"/>
  <c r="I164" i="1"/>
  <c r="K163" i="1"/>
  <c r="J163" i="1"/>
  <c r="I163" i="1"/>
  <c r="L163" i="1" s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L158" i="1" s="1"/>
  <c r="J158" i="1"/>
  <c r="I158" i="1"/>
  <c r="K157" i="1"/>
  <c r="J157" i="1"/>
  <c r="I157" i="1"/>
  <c r="K156" i="1"/>
  <c r="J156" i="1"/>
  <c r="I156" i="1"/>
  <c r="K155" i="1"/>
  <c r="J155" i="1"/>
  <c r="I155" i="1"/>
  <c r="L155" i="1" s="1"/>
  <c r="K154" i="1"/>
  <c r="J154" i="1"/>
  <c r="I154" i="1"/>
  <c r="K153" i="1"/>
  <c r="J153" i="1"/>
  <c r="I153" i="1"/>
  <c r="K151" i="1"/>
  <c r="J151" i="1"/>
  <c r="I151" i="1"/>
  <c r="K150" i="1"/>
  <c r="J150" i="1"/>
  <c r="I150" i="1"/>
  <c r="K149" i="1"/>
  <c r="L149" i="1" s="1"/>
  <c r="J149" i="1"/>
  <c r="I149" i="1"/>
  <c r="K148" i="1"/>
  <c r="J148" i="1"/>
  <c r="I148" i="1"/>
  <c r="K147" i="1"/>
  <c r="J147" i="1"/>
  <c r="I147" i="1"/>
  <c r="K146" i="1"/>
  <c r="J146" i="1"/>
  <c r="I146" i="1"/>
  <c r="L146" i="1" s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L141" i="1" s="1"/>
  <c r="J141" i="1"/>
  <c r="I141" i="1"/>
  <c r="K140" i="1"/>
  <c r="J140" i="1"/>
  <c r="I140" i="1"/>
  <c r="K139" i="1"/>
  <c r="J139" i="1"/>
  <c r="I139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H154" i="1" s="1"/>
  <c r="F154" i="1"/>
  <c r="G153" i="1"/>
  <c r="F153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AQ133" i="1"/>
  <c r="AP133" i="1"/>
  <c r="AO133" i="1"/>
  <c r="AQ132" i="1"/>
  <c r="AR132" i="1" s="1"/>
  <c r="AP132" i="1"/>
  <c r="AO132" i="1"/>
  <c r="AQ131" i="1"/>
  <c r="AP131" i="1"/>
  <c r="AO131" i="1"/>
  <c r="AQ130" i="1"/>
  <c r="AP130" i="1"/>
  <c r="AO130" i="1"/>
  <c r="AQ129" i="1"/>
  <c r="AP129" i="1"/>
  <c r="AO129" i="1"/>
  <c r="AR129" i="1" s="1"/>
  <c r="AQ128" i="1"/>
  <c r="AP128" i="1"/>
  <c r="AO128" i="1"/>
  <c r="AQ127" i="1"/>
  <c r="AP127" i="1"/>
  <c r="AO127" i="1"/>
  <c r="AQ126" i="1"/>
  <c r="AP126" i="1"/>
  <c r="AO126" i="1"/>
  <c r="AQ125" i="1"/>
  <c r="AP125" i="1"/>
  <c r="AO125" i="1"/>
  <c r="AQ124" i="1"/>
  <c r="AR124" i="1" s="1"/>
  <c r="AP124" i="1"/>
  <c r="AO124" i="1"/>
  <c r="AQ123" i="1"/>
  <c r="AP123" i="1"/>
  <c r="AO123" i="1"/>
  <c r="AQ122" i="1"/>
  <c r="AP122" i="1"/>
  <c r="AO122" i="1"/>
  <c r="AQ121" i="1"/>
  <c r="AP121" i="1"/>
  <c r="AO121" i="1"/>
  <c r="AR121" i="1" s="1"/>
  <c r="AQ119" i="1"/>
  <c r="AP119" i="1"/>
  <c r="AO119" i="1"/>
  <c r="AQ118" i="1"/>
  <c r="AP118" i="1"/>
  <c r="AO118" i="1"/>
  <c r="AQ117" i="1"/>
  <c r="AP117" i="1"/>
  <c r="AO117" i="1"/>
  <c r="AQ116" i="1"/>
  <c r="AP116" i="1"/>
  <c r="AO116" i="1"/>
  <c r="AQ115" i="1"/>
  <c r="AR115" i="1" s="1"/>
  <c r="AP115" i="1"/>
  <c r="AO115" i="1"/>
  <c r="AQ114" i="1"/>
  <c r="AP114" i="1"/>
  <c r="AO114" i="1"/>
  <c r="AQ113" i="1"/>
  <c r="AP113" i="1"/>
  <c r="AO113" i="1"/>
  <c r="AQ112" i="1"/>
  <c r="AP112" i="1"/>
  <c r="AO112" i="1"/>
  <c r="AR112" i="1" s="1"/>
  <c r="AQ111" i="1"/>
  <c r="AP111" i="1"/>
  <c r="AO111" i="1"/>
  <c r="AQ110" i="1"/>
  <c r="AP110" i="1"/>
  <c r="AO110" i="1"/>
  <c r="AQ109" i="1"/>
  <c r="AP109" i="1"/>
  <c r="AO109" i="1"/>
  <c r="AQ108" i="1"/>
  <c r="AP108" i="1"/>
  <c r="AO108" i="1"/>
  <c r="AQ107" i="1"/>
  <c r="AR107" i="1" s="1"/>
  <c r="AP107" i="1"/>
  <c r="AO107" i="1"/>
  <c r="AM133" i="1"/>
  <c r="AL133" i="1"/>
  <c r="AK133" i="1"/>
  <c r="AM132" i="1"/>
  <c r="AL132" i="1"/>
  <c r="AK132" i="1"/>
  <c r="AM131" i="1"/>
  <c r="AL131" i="1"/>
  <c r="AK131" i="1"/>
  <c r="AN131" i="1" s="1"/>
  <c r="AM130" i="1"/>
  <c r="AL130" i="1"/>
  <c r="AK130" i="1"/>
  <c r="AM129" i="1"/>
  <c r="AL129" i="1"/>
  <c r="AK129" i="1"/>
  <c r="AM128" i="1"/>
  <c r="AL128" i="1"/>
  <c r="AK128" i="1"/>
  <c r="AM127" i="1"/>
  <c r="AL127" i="1"/>
  <c r="AK127" i="1"/>
  <c r="AM126" i="1"/>
  <c r="AN126" i="1" s="1"/>
  <c r="AL126" i="1"/>
  <c r="AK126" i="1"/>
  <c r="AM125" i="1"/>
  <c r="AL125" i="1"/>
  <c r="AK125" i="1"/>
  <c r="AM124" i="1"/>
  <c r="AL124" i="1"/>
  <c r="AK124" i="1"/>
  <c r="AM123" i="1"/>
  <c r="AL123" i="1"/>
  <c r="AK123" i="1"/>
  <c r="AN123" i="1" s="1"/>
  <c r="AM122" i="1"/>
  <c r="AL122" i="1"/>
  <c r="AK122" i="1"/>
  <c r="AM121" i="1"/>
  <c r="AL121" i="1"/>
  <c r="AK121" i="1"/>
  <c r="AM119" i="1"/>
  <c r="AL119" i="1"/>
  <c r="AK119" i="1"/>
  <c r="AM118" i="1"/>
  <c r="AL118" i="1"/>
  <c r="AK118" i="1"/>
  <c r="AM117" i="1"/>
  <c r="AN117" i="1" s="1"/>
  <c r="AL117" i="1"/>
  <c r="AK117" i="1"/>
  <c r="AM116" i="1"/>
  <c r="AL116" i="1"/>
  <c r="AK116" i="1"/>
  <c r="AM115" i="1"/>
  <c r="AL115" i="1"/>
  <c r="AK115" i="1"/>
  <c r="AM114" i="1"/>
  <c r="AL114" i="1"/>
  <c r="AK114" i="1"/>
  <c r="AN114" i="1" s="1"/>
  <c r="AM113" i="1"/>
  <c r="AL113" i="1"/>
  <c r="AK113" i="1"/>
  <c r="AM112" i="1"/>
  <c r="AL112" i="1"/>
  <c r="AK112" i="1"/>
  <c r="AM111" i="1"/>
  <c r="AL111" i="1"/>
  <c r="AK111" i="1"/>
  <c r="AM110" i="1"/>
  <c r="AL110" i="1"/>
  <c r="AK110" i="1"/>
  <c r="AM109" i="1"/>
  <c r="AN109" i="1" s="1"/>
  <c r="AL109" i="1"/>
  <c r="AK109" i="1"/>
  <c r="AM108" i="1"/>
  <c r="AL108" i="1"/>
  <c r="AK108" i="1"/>
  <c r="AM107" i="1"/>
  <c r="AL107" i="1"/>
  <c r="AK107" i="1"/>
  <c r="AI133" i="1"/>
  <c r="AH133" i="1"/>
  <c r="AG133" i="1"/>
  <c r="AJ133" i="1" s="1"/>
  <c r="AI132" i="1"/>
  <c r="AH132" i="1"/>
  <c r="AG132" i="1"/>
  <c r="AI131" i="1"/>
  <c r="AJ131" i="1" s="1"/>
  <c r="AH131" i="1"/>
  <c r="AG131" i="1"/>
  <c r="AI130" i="1"/>
  <c r="AH130" i="1"/>
  <c r="AG130" i="1"/>
  <c r="AI129" i="1"/>
  <c r="AH129" i="1"/>
  <c r="AG129" i="1"/>
  <c r="AI128" i="1"/>
  <c r="AH128" i="1"/>
  <c r="AG128" i="1"/>
  <c r="AI127" i="1"/>
  <c r="AH127" i="1"/>
  <c r="AG127" i="1"/>
  <c r="AI126" i="1"/>
  <c r="AH126" i="1"/>
  <c r="AG126" i="1"/>
  <c r="AI125" i="1"/>
  <c r="AH125" i="1"/>
  <c r="AG125" i="1"/>
  <c r="AJ125" i="1" s="1"/>
  <c r="AI124" i="1"/>
  <c r="AH124" i="1"/>
  <c r="AG124" i="1"/>
  <c r="AI123" i="1"/>
  <c r="AH123" i="1"/>
  <c r="AG123" i="1"/>
  <c r="AI122" i="1"/>
  <c r="AH122" i="1"/>
  <c r="AG122" i="1"/>
  <c r="AI121" i="1"/>
  <c r="AH121" i="1"/>
  <c r="AG121" i="1"/>
  <c r="AI119" i="1"/>
  <c r="AJ119" i="1" s="1"/>
  <c r="AH119" i="1"/>
  <c r="AG119" i="1"/>
  <c r="AI118" i="1"/>
  <c r="AH118" i="1"/>
  <c r="AG118" i="1"/>
  <c r="AI117" i="1"/>
  <c r="AH117" i="1"/>
  <c r="AG117" i="1"/>
  <c r="AI116" i="1"/>
  <c r="AH116" i="1"/>
  <c r="AG116" i="1"/>
  <c r="AJ116" i="1" s="1"/>
  <c r="AI115" i="1"/>
  <c r="AH115" i="1"/>
  <c r="AG115" i="1"/>
  <c r="AI114" i="1"/>
  <c r="AH114" i="1"/>
  <c r="AG114" i="1"/>
  <c r="AI113" i="1"/>
  <c r="AH113" i="1"/>
  <c r="AG113" i="1"/>
  <c r="AI112" i="1"/>
  <c r="AH112" i="1"/>
  <c r="AG112" i="1"/>
  <c r="AI111" i="1"/>
  <c r="AJ111" i="1" s="1"/>
  <c r="AH111" i="1"/>
  <c r="AG111" i="1"/>
  <c r="AI110" i="1"/>
  <c r="AH110" i="1"/>
  <c r="AG110" i="1"/>
  <c r="AI109" i="1"/>
  <c r="AH109" i="1"/>
  <c r="AG109" i="1"/>
  <c r="AI108" i="1"/>
  <c r="AH108" i="1"/>
  <c r="AG108" i="1"/>
  <c r="AJ108" i="1" s="1"/>
  <c r="AI107" i="1"/>
  <c r="AH107" i="1"/>
  <c r="AG107" i="1"/>
  <c r="AE133" i="1"/>
  <c r="AD133" i="1"/>
  <c r="AC133" i="1"/>
  <c r="AE132" i="1"/>
  <c r="AD132" i="1"/>
  <c r="AC132" i="1"/>
  <c r="AE131" i="1"/>
  <c r="AD131" i="1"/>
  <c r="AC131" i="1"/>
  <c r="AE130" i="1"/>
  <c r="AF130" i="1" s="1"/>
  <c r="AD130" i="1"/>
  <c r="AC130" i="1"/>
  <c r="AE129" i="1"/>
  <c r="AD129" i="1"/>
  <c r="AC129" i="1"/>
  <c r="AE128" i="1"/>
  <c r="AD128" i="1"/>
  <c r="AC128" i="1"/>
  <c r="AE127" i="1"/>
  <c r="AD127" i="1"/>
  <c r="AC127" i="1"/>
  <c r="AF127" i="1" s="1"/>
  <c r="AE126" i="1"/>
  <c r="AD126" i="1"/>
  <c r="AC126" i="1"/>
  <c r="AE125" i="1"/>
  <c r="AD125" i="1"/>
  <c r="AC125" i="1"/>
  <c r="AE124" i="1"/>
  <c r="AD124" i="1"/>
  <c r="AC124" i="1"/>
  <c r="AE123" i="1"/>
  <c r="AD123" i="1"/>
  <c r="AC123" i="1"/>
  <c r="AE122" i="1"/>
  <c r="AF122" i="1" s="1"/>
  <c r="AD122" i="1"/>
  <c r="AC122" i="1"/>
  <c r="AE121" i="1"/>
  <c r="AD121" i="1"/>
  <c r="AC121" i="1"/>
  <c r="AE119" i="1"/>
  <c r="AD119" i="1"/>
  <c r="AC119" i="1"/>
  <c r="AE118" i="1"/>
  <c r="AD118" i="1"/>
  <c r="AC118" i="1"/>
  <c r="AE117" i="1"/>
  <c r="AD117" i="1"/>
  <c r="AC117" i="1"/>
  <c r="AE116" i="1"/>
  <c r="AD116" i="1"/>
  <c r="AC116" i="1"/>
  <c r="AE115" i="1"/>
  <c r="AD115" i="1"/>
  <c r="AC115" i="1"/>
  <c r="AE114" i="1"/>
  <c r="AD114" i="1"/>
  <c r="AC114" i="1"/>
  <c r="AE113" i="1"/>
  <c r="AF113" i="1" s="1"/>
  <c r="AD113" i="1"/>
  <c r="AC113" i="1"/>
  <c r="AE112" i="1"/>
  <c r="AD112" i="1"/>
  <c r="AC112" i="1"/>
  <c r="AE111" i="1"/>
  <c r="AD111" i="1"/>
  <c r="AC111" i="1"/>
  <c r="AE110" i="1"/>
  <c r="AD110" i="1"/>
  <c r="AC110" i="1"/>
  <c r="AF110" i="1" s="1"/>
  <c r="AE109" i="1"/>
  <c r="AD109" i="1"/>
  <c r="AC109" i="1"/>
  <c r="AE108" i="1"/>
  <c r="AD108" i="1"/>
  <c r="AC108" i="1"/>
  <c r="AE107" i="1"/>
  <c r="AD107" i="1"/>
  <c r="AC107" i="1"/>
  <c r="AA133" i="1"/>
  <c r="Z133" i="1"/>
  <c r="Y133" i="1"/>
  <c r="AA132" i="1"/>
  <c r="Z132" i="1"/>
  <c r="Y132" i="1"/>
  <c r="AA131" i="1"/>
  <c r="Z131" i="1"/>
  <c r="Y131" i="1"/>
  <c r="AA130" i="1"/>
  <c r="Z130" i="1"/>
  <c r="Y130" i="1"/>
  <c r="AA129" i="1"/>
  <c r="Z129" i="1"/>
  <c r="Y129" i="1"/>
  <c r="AB129" i="1" s="1"/>
  <c r="AA128" i="1"/>
  <c r="Z128" i="1"/>
  <c r="Y128" i="1"/>
  <c r="AA127" i="1"/>
  <c r="Z127" i="1"/>
  <c r="Y127" i="1"/>
  <c r="AA126" i="1"/>
  <c r="Z126" i="1"/>
  <c r="Y126" i="1"/>
  <c r="AA125" i="1"/>
  <c r="Z125" i="1"/>
  <c r="Y125" i="1"/>
  <c r="AA124" i="1"/>
  <c r="Z124" i="1"/>
  <c r="Y124" i="1"/>
  <c r="AA123" i="1"/>
  <c r="Z123" i="1"/>
  <c r="Y123" i="1"/>
  <c r="AA122" i="1"/>
  <c r="Z122" i="1"/>
  <c r="Y122" i="1"/>
  <c r="AA121" i="1"/>
  <c r="Z121" i="1"/>
  <c r="Y121" i="1"/>
  <c r="AB121" i="1" s="1"/>
  <c r="AA119" i="1"/>
  <c r="Z119" i="1"/>
  <c r="Y119" i="1"/>
  <c r="AB119" i="1" s="1"/>
  <c r="AA118" i="1"/>
  <c r="Z118" i="1"/>
  <c r="Y118" i="1"/>
  <c r="AA117" i="1"/>
  <c r="Z117" i="1"/>
  <c r="Y117" i="1"/>
  <c r="AA116" i="1"/>
  <c r="Z116" i="1"/>
  <c r="Y116" i="1"/>
  <c r="AA115" i="1"/>
  <c r="Z115" i="1"/>
  <c r="Y115" i="1"/>
  <c r="AA114" i="1"/>
  <c r="Z114" i="1"/>
  <c r="Y114" i="1"/>
  <c r="AA113" i="1"/>
  <c r="Z113" i="1"/>
  <c r="Y113" i="1"/>
  <c r="AA112" i="1"/>
  <c r="Z112" i="1"/>
  <c r="Y112" i="1"/>
  <c r="AB112" i="1" s="1"/>
  <c r="AA111" i="1"/>
  <c r="Z111" i="1"/>
  <c r="Y111" i="1"/>
  <c r="AA110" i="1"/>
  <c r="Z110" i="1"/>
  <c r="Y110" i="1"/>
  <c r="AA109" i="1"/>
  <c r="Z109" i="1"/>
  <c r="Y109" i="1"/>
  <c r="AA108" i="1"/>
  <c r="Z108" i="1"/>
  <c r="Y108" i="1"/>
  <c r="AA107" i="1"/>
  <c r="Z107" i="1"/>
  <c r="Y107" i="1"/>
  <c r="W133" i="1"/>
  <c r="V133" i="1"/>
  <c r="U133" i="1"/>
  <c r="W132" i="1"/>
  <c r="V132" i="1"/>
  <c r="U132" i="1"/>
  <c r="W131" i="1"/>
  <c r="V131" i="1"/>
  <c r="U131" i="1"/>
  <c r="X131" i="1" s="1"/>
  <c r="W130" i="1"/>
  <c r="V130" i="1"/>
  <c r="U130" i="1"/>
  <c r="W129" i="1"/>
  <c r="V129" i="1"/>
  <c r="U129" i="1"/>
  <c r="W128" i="1"/>
  <c r="V128" i="1"/>
  <c r="U128" i="1"/>
  <c r="W127" i="1"/>
  <c r="V127" i="1"/>
  <c r="U127" i="1"/>
  <c r="W126" i="1"/>
  <c r="X126" i="1" s="1"/>
  <c r="V126" i="1"/>
  <c r="U126" i="1"/>
  <c r="W125" i="1"/>
  <c r="V125" i="1"/>
  <c r="U125" i="1"/>
  <c r="W124" i="1"/>
  <c r="V124" i="1"/>
  <c r="U124" i="1"/>
  <c r="W123" i="1"/>
  <c r="V123" i="1"/>
  <c r="U123" i="1"/>
  <c r="X123" i="1" s="1"/>
  <c r="W122" i="1"/>
  <c r="V122" i="1"/>
  <c r="U122" i="1"/>
  <c r="W121" i="1"/>
  <c r="V121" i="1"/>
  <c r="U121" i="1"/>
  <c r="W119" i="1"/>
  <c r="V119" i="1"/>
  <c r="U119" i="1"/>
  <c r="W118" i="1"/>
  <c r="V118" i="1"/>
  <c r="U118" i="1"/>
  <c r="W117" i="1"/>
  <c r="V117" i="1"/>
  <c r="U117" i="1"/>
  <c r="W116" i="1"/>
  <c r="V116" i="1"/>
  <c r="U116" i="1"/>
  <c r="W115" i="1"/>
  <c r="V115" i="1"/>
  <c r="U115" i="1"/>
  <c r="W114" i="1"/>
  <c r="V114" i="1"/>
  <c r="U114" i="1"/>
  <c r="X114" i="1" s="1"/>
  <c r="W113" i="1"/>
  <c r="V113" i="1"/>
  <c r="U113" i="1"/>
  <c r="W112" i="1"/>
  <c r="V112" i="1"/>
  <c r="U112" i="1"/>
  <c r="W111" i="1"/>
  <c r="V111" i="1"/>
  <c r="U111" i="1"/>
  <c r="W110" i="1"/>
  <c r="V110" i="1"/>
  <c r="U110" i="1"/>
  <c r="W109" i="1"/>
  <c r="X109" i="1" s="1"/>
  <c r="V109" i="1"/>
  <c r="U109" i="1"/>
  <c r="W108" i="1"/>
  <c r="V108" i="1"/>
  <c r="U108" i="1"/>
  <c r="X108" i="1" s="1"/>
  <c r="W107" i="1"/>
  <c r="V107" i="1"/>
  <c r="U107" i="1"/>
  <c r="S133" i="1"/>
  <c r="R133" i="1"/>
  <c r="Q133" i="1"/>
  <c r="T133" i="1" s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T128" i="1" s="1"/>
  <c r="R128" i="1"/>
  <c r="Q128" i="1"/>
  <c r="S127" i="1"/>
  <c r="R127" i="1"/>
  <c r="Q127" i="1"/>
  <c r="S126" i="1"/>
  <c r="R126" i="1"/>
  <c r="Q126" i="1"/>
  <c r="S125" i="1"/>
  <c r="R125" i="1"/>
  <c r="Q125" i="1"/>
  <c r="T125" i="1" s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19" i="1"/>
  <c r="T119" i="1" s="1"/>
  <c r="R119" i="1"/>
  <c r="Q119" i="1"/>
  <c r="S118" i="1"/>
  <c r="R118" i="1"/>
  <c r="Q118" i="1"/>
  <c r="S117" i="1"/>
  <c r="R117" i="1"/>
  <c r="Q117" i="1"/>
  <c r="S116" i="1"/>
  <c r="R116" i="1"/>
  <c r="Q116" i="1"/>
  <c r="T116" i="1" s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T111" i="1" s="1"/>
  <c r="R111" i="1"/>
  <c r="Q111" i="1"/>
  <c r="S110" i="1"/>
  <c r="R110" i="1"/>
  <c r="Q110" i="1"/>
  <c r="S109" i="1"/>
  <c r="R109" i="1"/>
  <c r="Q109" i="1"/>
  <c r="S108" i="1"/>
  <c r="R108" i="1"/>
  <c r="Q108" i="1"/>
  <c r="T108" i="1" s="1"/>
  <c r="S107" i="1"/>
  <c r="R107" i="1"/>
  <c r="Q107" i="1"/>
  <c r="O133" i="1"/>
  <c r="N133" i="1"/>
  <c r="M133" i="1"/>
  <c r="O132" i="1"/>
  <c r="N132" i="1"/>
  <c r="M132" i="1"/>
  <c r="O131" i="1"/>
  <c r="N131" i="1"/>
  <c r="M131" i="1"/>
  <c r="O130" i="1"/>
  <c r="P130" i="1" s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19" i="1"/>
  <c r="N119" i="1"/>
  <c r="M119" i="1"/>
  <c r="O118" i="1"/>
  <c r="N118" i="1"/>
  <c r="M118" i="1"/>
  <c r="P118" i="1" s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P113" i="1" s="1"/>
  <c r="N113" i="1"/>
  <c r="M113" i="1"/>
  <c r="O112" i="1"/>
  <c r="N112" i="1"/>
  <c r="M112" i="1"/>
  <c r="O111" i="1"/>
  <c r="N111" i="1"/>
  <c r="M111" i="1"/>
  <c r="O110" i="1"/>
  <c r="N110" i="1"/>
  <c r="M110" i="1"/>
  <c r="P110" i="1" s="1"/>
  <c r="O109" i="1"/>
  <c r="N109" i="1"/>
  <c r="M109" i="1"/>
  <c r="O108" i="1"/>
  <c r="N108" i="1"/>
  <c r="M108" i="1"/>
  <c r="O107" i="1"/>
  <c r="N107" i="1"/>
  <c r="M107" i="1"/>
  <c r="K133" i="1"/>
  <c r="J133" i="1"/>
  <c r="I133" i="1"/>
  <c r="K132" i="1"/>
  <c r="L132" i="1" s="1"/>
  <c r="J132" i="1"/>
  <c r="I132" i="1"/>
  <c r="K131" i="1"/>
  <c r="J131" i="1"/>
  <c r="I131" i="1"/>
  <c r="K130" i="1"/>
  <c r="J130" i="1"/>
  <c r="I130" i="1"/>
  <c r="K129" i="1"/>
  <c r="J129" i="1"/>
  <c r="I129" i="1"/>
  <c r="L129" i="1" s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L124" i="1" s="1"/>
  <c r="J124" i="1"/>
  <c r="I124" i="1"/>
  <c r="K123" i="1"/>
  <c r="J123" i="1"/>
  <c r="I123" i="1"/>
  <c r="K122" i="1"/>
  <c r="J122" i="1"/>
  <c r="I122" i="1"/>
  <c r="K121" i="1"/>
  <c r="J121" i="1"/>
  <c r="I121" i="1"/>
  <c r="L121" i="1" s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L115" i="1" s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L107" i="1" s="1"/>
  <c r="J107" i="1"/>
  <c r="I107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F133" i="1"/>
  <c r="F132" i="1"/>
  <c r="F131" i="1"/>
  <c r="F130" i="1"/>
  <c r="F129" i="1"/>
  <c r="F128" i="1"/>
  <c r="F127" i="1"/>
  <c r="F126" i="1"/>
  <c r="H126" i="1" s="1"/>
  <c r="F125" i="1"/>
  <c r="F124" i="1"/>
  <c r="F123" i="1"/>
  <c r="F122" i="1"/>
  <c r="F121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E129" i="1"/>
  <c r="H129" i="1" s="1"/>
  <c r="BJ89" i="1"/>
  <c r="BJ166" i="1" s="1"/>
  <c r="BJ152" i="1"/>
  <c r="BF89" i="1"/>
  <c r="BF166" i="1" s="1"/>
  <c r="BF152" i="1"/>
  <c r="BB89" i="1"/>
  <c r="BB166" i="1" s="1"/>
  <c r="BB152" i="1"/>
  <c r="AX89" i="1"/>
  <c r="AX166" i="1" s="1"/>
  <c r="AX152" i="1"/>
  <c r="AT89" i="1"/>
  <c r="AT166" i="1" s="1"/>
  <c r="AT152" i="1"/>
  <c r="AP89" i="1"/>
  <c r="AP166" i="1" s="1"/>
  <c r="AP152" i="1"/>
  <c r="AL89" i="1"/>
  <c r="AL166" i="1" s="1"/>
  <c r="AL152" i="1"/>
  <c r="AH89" i="1"/>
  <c r="AH166" i="1" s="1"/>
  <c r="AH152" i="1"/>
  <c r="AD89" i="1"/>
  <c r="AD166" i="1" s="1"/>
  <c r="AD152" i="1"/>
  <c r="Z89" i="1"/>
  <c r="Z166" i="1" s="1"/>
  <c r="Z152" i="1"/>
  <c r="V89" i="1"/>
  <c r="V166" i="1" s="1"/>
  <c r="V152" i="1"/>
  <c r="R89" i="1"/>
  <c r="R166" i="1" s="1"/>
  <c r="R152" i="1"/>
  <c r="N89" i="1"/>
  <c r="N166" i="1" s="1"/>
  <c r="N152" i="1"/>
  <c r="J89" i="1"/>
  <c r="J166" i="1" s="1"/>
  <c r="J152" i="1"/>
  <c r="F89" i="1"/>
  <c r="F166" i="1" s="1"/>
  <c r="F152" i="1"/>
  <c r="AP51" i="1"/>
  <c r="AP134" i="1" s="1"/>
  <c r="AP120" i="1"/>
  <c r="AL51" i="1"/>
  <c r="AL134" i="1" s="1"/>
  <c r="AL120" i="1"/>
  <c r="AH51" i="1"/>
  <c r="AH134" i="1" s="1"/>
  <c r="AH120" i="1"/>
  <c r="AD51" i="1"/>
  <c r="AD134" i="1" s="1"/>
  <c r="AD120" i="1"/>
  <c r="Z51" i="1"/>
  <c r="Z134" i="1" s="1"/>
  <c r="Z120" i="1"/>
  <c r="V51" i="1"/>
  <c r="V134" i="1" s="1"/>
  <c r="V120" i="1"/>
  <c r="R51" i="1"/>
  <c r="R134" i="1" s="1"/>
  <c r="R120" i="1"/>
  <c r="N51" i="1"/>
  <c r="N134" i="1" s="1"/>
  <c r="N120" i="1"/>
  <c r="J51" i="1"/>
  <c r="J134" i="1" s="1"/>
  <c r="J120" i="1"/>
  <c r="F51" i="1"/>
  <c r="F134" i="1" s="1"/>
  <c r="F120" i="1"/>
  <c r="BR141" i="1"/>
  <c r="BR140" i="1"/>
  <c r="BR139" i="1"/>
  <c r="BK138" i="1"/>
  <c r="BJ138" i="1"/>
  <c r="BI138" i="1"/>
  <c r="BG138" i="1"/>
  <c r="BF138" i="1"/>
  <c r="BE138" i="1"/>
  <c r="BC138" i="1"/>
  <c r="BB138" i="1"/>
  <c r="BA138" i="1"/>
  <c r="AY138" i="1"/>
  <c r="AX138" i="1"/>
  <c r="AW138" i="1"/>
  <c r="AU138" i="1"/>
  <c r="AT138" i="1"/>
  <c r="AS138" i="1"/>
  <c r="AQ138" i="1"/>
  <c r="AP138" i="1"/>
  <c r="AO138" i="1"/>
  <c r="AM138" i="1"/>
  <c r="AL138" i="1"/>
  <c r="AK138" i="1"/>
  <c r="AI138" i="1"/>
  <c r="AH138" i="1"/>
  <c r="AG138" i="1"/>
  <c r="AE138" i="1"/>
  <c r="AD138" i="1"/>
  <c r="AC138" i="1"/>
  <c r="AA138" i="1"/>
  <c r="Z138" i="1"/>
  <c r="Y138" i="1"/>
  <c r="W138" i="1"/>
  <c r="V138" i="1"/>
  <c r="U138" i="1"/>
  <c r="S138" i="1"/>
  <c r="R138" i="1"/>
  <c r="Q138" i="1"/>
  <c r="O138" i="1"/>
  <c r="N138" i="1"/>
  <c r="M138" i="1"/>
  <c r="K138" i="1"/>
  <c r="J138" i="1"/>
  <c r="I138" i="1"/>
  <c r="G138" i="1"/>
  <c r="F138" i="1"/>
  <c r="E138" i="1"/>
  <c r="AQ106" i="1"/>
  <c r="AP106" i="1"/>
  <c r="AO106" i="1"/>
  <c r="AM106" i="1"/>
  <c r="AL106" i="1"/>
  <c r="AK106" i="1"/>
  <c r="AI106" i="1"/>
  <c r="AH106" i="1"/>
  <c r="AG106" i="1"/>
  <c r="AE106" i="1"/>
  <c r="AD106" i="1"/>
  <c r="AC106" i="1"/>
  <c r="AA106" i="1"/>
  <c r="Z106" i="1"/>
  <c r="Y106" i="1"/>
  <c r="W106" i="1"/>
  <c r="V106" i="1"/>
  <c r="U106" i="1"/>
  <c r="S106" i="1"/>
  <c r="R106" i="1"/>
  <c r="Q106" i="1"/>
  <c r="O106" i="1"/>
  <c r="N106" i="1"/>
  <c r="M106" i="1"/>
  <c r="K106" i="1"/>
  <c r="J106" i="1"/>
  <c r="I106" i="1"/>
  <c r="G106" i="1"/>
  <c r="F106" i="1"/>
  <c r="E106" i="1"/>
  <c r="BK55" i="1"/>
  <c r="BJ55" i="1"/>
  <c r="BI55" i="1"/>
  <c r="BG55" i="1"/>
  <c r="BF55" i="1"/>
  <c r="BE55" i="1"/>
  <c r="BC55" i="1"/>
  <c r="BB55" i="1"/>
  <c r="BA55" i="1"/>
  <c r="AY55" i="1"/>
  <c r="AX55" i="1"/>
  <c r="AW55" i="1"/>
  <c r="AU55" i="1"/>
  <c r="AT55" i="1"/>
  <c r="AS55" i="1"/>
  <c r="AQ55" i="1"/>
  <c r="AP55" i="1"/>
  <c r="AO55" i="1"/>
  <c r="AM55" i="1"/>
  <c r="AL55" i="1"/>
  <c r="AK55" i="1"/>
  <c r="AI55" i="1"/>
  <c r="AH55" i="1"/>
  <c r="AG55" i="1"/>
  <c r="AE55" i="1"/>
  <c r="AD55" i="1"/>
  <c r="AC55" i="1"/>
  <c r="AA55" i="1"/>
  <c r="Z55" i="1"/>
  <c r="Y55" i="1"/>
  <c r="W55" i="1"/>
  <c r="V55" i="1"/>
  <c r="U55" i="1"/>
  <c r="S55" i="1"/>
  <c r="R55" i="1"/>
  <c r="Q55" i="1"/>
  <c r="O55" i="1"/>
  <c r="N55" i="1"/>
  <c r="M55" i="1"/>
  <c r="K55" i="1"/>
  <c r="J55" i="1"/>
  <c r="I55" i="1"/>
  <c r="G55" i="1"/>
  <c r="F55" i="1"/>
  <c r="E55" i="1"/>
  <c r="AQ17" i="1"/>
  <c r="AP17" i="1"/>
  <c r="AO17" i="1"/>
  <c r="AM17" i="1"/>
  <c r="AL17" i="1"/>
  <c r="AK17" i="1"/>
  <c r="AI17" i="1"/>
  <c r="AH17" i="1"/>
  <c r="AG17" i="1"/>
  <c r="AE17" i="1"/>
  <c r="AD17" i="1"/>
  <c r="AC17" i="1"/>
  <c r="AA17" i="1"/>
  <c r="Z17" i="1"/>
  <c r="Y17" i="1"/>
  <c r="W17" i="1"/>
  <c r="V17" i="1"/>
  <c r="U17" i="1"/>
  <c r="S17" i="1"/>
  <c r="R17" i="1"/>
  <c r="Q17" i="1"/>
  <c r="O17" i="1"/>
  <c r="N17" i="1"/>
  <c r="M17" i="1"/>
  <c r="K17" i="1"/>
  <c r="J17" i="1"/>
  <c r="I17" i="1"/>
  <c r="G17" i="1"/>
  <c r="F17" i="1"/>
  <c r="BI152" i="1"/>
  <c r="E107" i="1"/>
  <c r="E139" i="1"/>
  <c r="E108" i="1"/>
  <c r="E140" i="1"/>
  <c r="H140" i="1" s="1"/>
  <c r="E109" i="1"/>
  <c r="E141" i="1"/>
  <c r="E110" i="1"/>
  <c r="E142" i="1"/>
  <c r="E111" i="1"/>
  <c r="E143" i="1"/>
  <c r="E112" i="1"/>
  <c r="E144" i="1"/>
  <c r="E113" i="1"/>
  <c r="E145" i="1"/>
  <c r="E114" i="1"/>
  <c r="E146" i="1"/>
  <c r="E115" i="1"/>
  <c r="E147" i="1"/>
  <c r="E116" i="1"/>
  <c r="E148" i="1"/>
  <c r="H148" i="1" s="1"/>
  <c r="E117" i="1"/>
  <c r="E149" i="1"/>
  <c r="E118" i="1"/>
  <c r="E150" i="1"/>
  <c r="E119" i="1"/>
  <c r="E151" i="1"/>
  <c r="B21" i="5"/>
  <c r="B22" i="5" s="1"/>
  <c r="B23" i="5" s="1"/>
  <c r="BV137" i="1"/>
  <c r="E121" i="1"/>
  <c r="E153" i="1"/>
  <c r="E122" i="1"/>
  <c r="E154" i="1"/>
  <c r="E123" i="1"/>
  <c r="H123" i="1" s="1"/>
  <c r="E155" i="1"/>
  <c r="E124" i="1"/>
  <c r="E156" i="1"/>
  <c r="E125" i="1"/>
  <c r="E157" i="1"/>
  <c r="H157" i="1" s="1"/>
  <c r="E126" i="1"/>
  <c r="E158" i="1"/>
  <c r="E127" i="1"/>
  <c r="H127" i="1" s="1"/>
  <c r="E159" i="1"/>
  <c r="E128" i="1"/>
  <c r="E160" i="1"/>
  <c r="E161" i="1"/>
  <c r="H161" i="1" s="1"/>
  <c r="E130" i="1"/>
  <c r="E162" i="1"/>
  <c r="E131" i="1"/>
  <c r="E163" i="1"/>
  <c r="E132" i="1"/>
  <c r="E164" i="1"/>
  <c r="E133" i="1"/>
  <c r="E165" i="1"/>
  <c r="H165" i="1" s="1"/>
  <c r="B35" i="5"/>
  <c r="B36" i="5" s="1"/>
  <c r="AO152" i="1"/>
  <c r="AQ152" i="1"/>
  <c r="AK152" i="1"/>
  <c r="AC152" i="1"/>
  <c r="AE152" i="1"/>
  <c r="U152" i="1"/>
  <c r="W152" i="1"/>
  <c r="I152" i="1"/>
  <c r="K152" i="1"/>
  <c r="AO120" i="1"/>
  <c r="H115" i="1"/>
  <c r="U120" i="1"/>
  <c r="Y120" i="1"/>
  <c r="AA120" i="1"/>
  <c r="E152" i="1"/>
  <c r="G152" i="1"/>
  <c r="M152" i="1"/>
  <c r="O152" i="1"/>
  <c r="Q152" i="1"/>
  <c r="Y152" i="1"/>
  <c r="AA152" i="1"/>
  <c r="AG152" i="1"/>
  <c r="BE152" i="1"/>
  <c r="BG152" i="1"/>
  <c r="AS152" i="1"/>
  <c r="AU152" i="1"/>
  <c r="AW152" i="1"/>
  <c r="AY152" i="1"/>
  <c r="BA152" i="1"/>
  <c r="BC152" i="1"/>
  <c r="AC120" i="1"/>
  <c r="AE120" i="1"/>
  <c r="AG120" i="1"/>
  <c r="AK120" i="1"/>
  <c r="AM120" i="1"/>
  <c r="I120" i="1"/>
  <c r="K120" i="1"/>
  <c r="M120" i="1"/>
  <c r="Q120" i="1"/>
  <c r="S120" i="1"/>
  <c r="E134" i="1"/>
  <c r="G51" i="1"/>
  <c r="G134" i="1" s="1"/>
  <c r="AC51" i="1"/>
  <c r="AC134" i="1" s="1"/>
  <c r="AE51" i="1"/>
  <c r="AE134" i="1" s="1"/>
  <c r="M89" i="1"/>
  <c r="M166" i="1" s="1"/>
  <c r="O89" i="1"/>
  <c r="O166" i="1" s="1"/>
  <c r="AK89" i="1"/>
  <c r="AK166" i="1" s="1"/>
  <c r="AM89" i="1"/>
  <c r="AM166" i="1" s="1"/>
  <c r="BI89" i="1"/>
  <c r="BI166" i="1" s="1"/>
  <c r="BK89" i="1"/>
  <c r="BK166" i="1" s="1"/>
  <c r="AS89" i="1"/>
  <c r="AS166" i="1" s="1"/>
  <c r="AU89" i="1"/>
  <c r="AU166" i="1" s="1"/>
  <c r="AW89" i="1"/>
  <c r="AW166" i="1" s="1"/>
  <c r="AY89" i="1"/>
  <c r="AY166" i="1" s="1"/>
  <c r="BA89" i="1"/>
  <c r="BA166" i="1" s="1"/>
  <c r="BC89" i="1"/>
  <c r="BC166" i="1" s="1"/>
  <c r="BE89" i="1"/>
  <c r="BE166" i="1" s="1"/>
  <c r="BG89" i="1"/>
  <c r="BG166" i="1" s="1"/>
  <c r="I51" i="1"/>
  <c r="I134" i="1" s="1"/>
  <c r="K51" i="1"/>
  <c r="K134" i="1" s="1"/>
  <c r="AG51" i="1"/>
  <c r="AG134" i="1" s="1"/>
  <c r="AI51" i="1"/>
  <c r="AI134" i="1" s="1"/>
  <c r="Q89" i="1"/>
  <c r="Q166" i="1" s="1"/>
  <c r="S89" i="1"/>
  <c r="S166" i="1" s="1"/>
  <c r="AO89" i="1"/>
  <c r="AO166" i="1" s="1"/>
  <c r="AQ89" i="1"/>
  <c r="AQ166" i="1" s="1"/>
  <c r="Y89" i="1"/>
  <c r="Y166" i="1" s="1"/>
  <c r="AA89" i="1"/>
  <c r="AA166" i="1" s="1"/>
  <c r="AC89" i="1"/>
  <c r="AC166" i="1" s="1"/>
  <c r="AE89" i="1"/>
  <c r="AE166" i="1" s="1"/>
  <c r="AG89" i="1"/>
  <c r="AG166" i="1" s="1"/>
  <c r="AI89" i="1"/>
  <c r="AI166" i="1" s="1"/>
  <c r="M51" i="1"/>
  <c r="M134" i="1" s="1"/>
  <c r="O51" i="1"/>
  <c r="O134" i="1" s="1"/>
  <c r="AK51" i="1"/>
  <c r="AK134" i="1" s="1"/>
  <c r="AM51" i="1"/>
  <c r="AM134" i="1" s="1"/>
  <c r="U89" i="1"/>
  <c r="U166" i="1" s="1"/>
  <c r="W89" i="1"/>
  <c r="W166" i="1" s="1"/>
  <c r="E166" i="1"/>
  <c r="G89" i="1"/>
  <c r="G166" i="1" s="1"/>
  <c r="I89" i="1"/>
  <c r="I166" i="1" s="1"/>
  <c r="K89" i="1"/>
  <c r="K166" i="1" s="1"/>
  <c r="Q51" i="1"/>
  <c r="Q134" i="1" s="1"/>
  <c r="S51" i="1"/>
  <c r="S134" i="1" s="1"/>
  <c r="AO51" i="1"/>
  <c r="AO134" i="1" s="1"/>
  <c r="AQ51" i="1"/>
  <c r="AQ134" i="1" s="1"/>
  <c r="Y51" i="1"/>
  <c r="Y134" i="1" s="1"/>
  <c r="AA51" i="1"/>
  <c r="AA134" i="1" s="1"/>
  <c r="U51" i="1"/>
  <c r="U134" i="1" s="1"/>
  <c r="W51" i="1"/>
  <c r="W134" i="1" s="1"/>
  <c r="E120" i="1"/>
  <c r="AN154" i="1"/>
  <c r="T156" i="1"/>
  <c r="B107" i="1"/>
  <c r="B108" i="1" s="1"/>
  <c r="B109" i="1" s="1"/>
  <c r="B110" i="1" s="1"/>
  <c r="B111" i="1" s="1"/>
  <c r="B112" i="1" s="1"/>
  <c r="B113" i="1" s="1"/>
  <c r="B114" i="1" s="1"/>
  <c r="B120" i="1"/>
  <c r="BQ152" i="1" s="1"/>
  <c r="B121" i="1"/>
  <c r="BQ153" i="1" s="1"/>
  <c r="B134" i="1"/>
  <c r="BQ166" i="1" s="1"/>
  <c r="B153" i="1"/>
  <c r="B154" i="1" s="1"/>
  <c r="AV161" i="1"/>
  <c r="B139" i="1"/>
  <c r="B140" i="1" s="1"/>
  <c r="B141" i="1" s="1"/>
  <c r="B142" i="1" s="1"/>
  <c r="B143" i="1" s="1"/>
  <c r="B144" i="1" s="1"/>
  <c r="B145" i="1" s="1"/>
  <c r="X145" i="1"/>
  <c r="AZ145" i="1"/>
  <c r="L151" i="1"/>
  <c r="AR128" i="1"/>
  <c r="X130" i="1"/>
  <c r="X117" i="1"/>
  <c r="B73" i="1"/>
  <c r="D73" i="1" s="1"/>
  <c r="B74" i="1" s="1"/>
  <c r="D74" i="1" s="1"/>
  <c r="B75" i="1" s="1"/>
  <c r="D75" i="1" s="1"/>
  <c r="B76" i="1" s="1"/>
  <c r="D76" i="1" s="1"/>
  <c r="B77" i="1" s="1"/>
  <c r="D77" i="1" s="1"/>
  <c r="B78" i="1" s="1"/>
  <c r="D78" i="1" s="1"/>
  <c r="B79" i="1" s="1"/>
  <c r="D79" i="1" s="1"/>
  <c r="B80" i="1" s="1"/>
  <c r="D80" i="1" s="1"/>
  <c r="B81" i="1" s="1"/>
  <c r="D81" i="1" s="1"/>
  <c r="B82" i="1" s="1"/>
  <c r="D82" i="1" s="1"/>
  <c r="B83" i="1" s="1"/>
  <c r="D83" i="1" s="1"/>
  <c r="B84" i="1" s="1"/>
  <c r="D84" i="1" s="1"/>
  <c r="B85" i="1" s="1"/>
  <c r="D85" i="1" s="1"/>
  <c r="B86" i="1" s="1"/>
  <c r="D86" i="1" s="1"/>
  <c r="B87" i="1" s="1"/>
  <c r="D87" i="1" s="1"/>
  <c r="B88" i="1" s="1"/>
  <c r="D88" i="1" s="1"/>
  <c r="BL83" i="1"/>
  <c r="BL84" i="1"/>
  <c r="BL85" i="1"/>
  <c r="BL86" i="1"/>
  <c r="BL87" i="1"/>
  <c r="BL88" i="1"/>
  <c r="B56" i="1"/>
  <c r="D56" i="1" s="1"/>
  <c r="B57" i="1" s="1"/>
  <c r="D57" i="1" s="1"/>
  <c r="B58" i="1" s="1"/>
  <c r="D58" i="1" s="1"/>
  <c r="B59" i="1" s="1"/>
  <c r="D59" i="1" s="1"/>
  <c r="B60" i="1" s="1"/>
  <c r="D60" i="1" s="1"/>
  <c r="B61" i="1" s="1"/>
  <c r="D61" i="1" s="1"/>
  <c r="B62" i="1" s="1"/>
  <c r="D62" i="1" s="1"/>
  <c r="B63" i="1" s="1"/>
  <c r="D63" i="1" s="1"/>
  <c r="B64" i="1" s="1"/>
  <c r="D64" i="1" s="1"/>
  <c r="B65" i="1" s="1"/>
  <c r="D65" i="1" s="1"/>
  <c r="B66" i="1" s="1"/>
  <c r="D66" i="1" s="1"/>
  <c r="B67" i="1" s="1"/>
  <c r="D67" i="1" s="1"/>
  <c r="B68" i="1" s="1"/>
  <c r="D68" i="1" s="1"/>
  <c r="B69" i="1" s="1"/>
  <c r="D69" i="1" s="1"/>
  <c r="B70" i="1" s="1"/>
  <c r="D70" i="1" s="1"/>
  <c r="B71" i="1" s="1"/>
  <c r="D71" i="1" s="1"/>
  <c r="BL66" i="1"/>
  <c r="BL67" i="1"/>
  <c r="BL68" i="1"/>
  <c r="BL69" i="1"/>
  <c r="BL70" i="1"/>
  <c r="BL71" i="1"/>
  <c r="D35" i="1"/>
  <c r="B36" i="1" s="1"/>
  <c r="D36" i="1" s="1"/>
  <c r="B37" i="1" s="1"/>
  <c r="D37" i="1" s="1"/>
  <c r="B38" i="1" s="1"/>
  <c r="D38" i="1" s="1"/>
  <c r="B39" i="1" s="1"/>
  <c r="D39" i="1" s="1"/>
  <c r="B40" i="1" s="1"/>
  <c r="D40" i="1" s="1"/>
  <c r="B41" i="1" s="1"/>
  <c r="D41" i="1" s="1"/>
  <c r="B42" i="1" s="1"/>
  <c r="D42" i="1" s="1"/>
  <c r="B43" i="1" s="1"/>
  <c r="D43" i="1" s="1"/>
  <c r="B44" i="1" s="1"/>
  <c r="D44" i="1" s="1"/>
  <c r="B45" i="1" s="1"/>
  <c r="D45" i="1" s="1"/>
  <c r="B46" i="1" s="1"/>
  <c r="D46" i="1" s="1"/>
  <c r="B47" i="1" s="1"/>
  <c r="D47" i="1" s="1"/>
  <c r="B48" i="1" s="1"/>
  <c r="D48" i="1" s="1"/>
  <c r="B49" i="1" s="1"/>
  <c r="D49" i="1" s="1"/>
  <c r="B50" i="1" s="1"/>
  <c r="D50" i="1" s="1"/>
  <c r="AR45" i="1"/>
  <c r="AR46" i="1"/>
  <c r="AR47" i="1"/>
  <c r="AR48" i="1"/>
  <c r="AR49" i="1"/>
  <c r="AR50" i="1"/>
  <c r="D18" i="1"/>
  <c r="B19" i="1" s="1"/>
  <c r="D19" i="1" s="1"/>
  <c r="B20" i="1" s="1"/>
  <c r="D20" i="1" s="1"/>
  <c r="B21" i="1" s="1"/>
  <c r="D21" i="1" s="1"/>
  <c r="B22" i="1" s="1"/>
  <c r="D22" i="1" s="1"/>
  <c r="B23" i="1" s="1"/>
  <c r="D23" i="1" s="1"/>
  <c r="B24" i="1" s="1"/>
  <c r="D24" i="1" s="1"/>
  <c r="B25" i="1" s="1"/>
  <c r="D25" i="1" s="1"/>
  <c r="B26" i="1" s="1"/>
  <c r="D26" i="1" s="1"/>
  <c r="B27" i="1" s="1"/>
  <c r="D27" i="1" s="1"/>
  <c r="B28" i="1" s="1"/>
  <c r="D28" i="1" s="1"/>
  <c r="B29" i="1" s="1"/>
  <c r="D29" i="1" s="1"/>
  <c r="B30" i="1" s="1"/>
  <c r="D30" i="1" s="1"/>
  <c r="B31" i="1" s="1"/>
  <c r="D31" i="1" s="1"/>
  <c r="B32" i="1" s="1"/>
  <c r="D32" i="1" s="1"/>
  <c r="B33" i="1" s="1"/>
  <c r="D33" i="1" s="1"/>
  <c r="AR28" i="1"/>
  <c r="AR29" i="1"/>
  <c r="AR30" i="1"/>
  <c r="AR31" i="1"/>
  <c r="AR32" i="1"/>
  <c r="AR33" i="1"/>
  <c r="CY128" i="1"/>
  <c r="CZ128" i="1"/>
  <c r="DA128" i="1"/>
  <c r="DB128" i="1"/>
  <c r="DC128" i="1"/>
  <c r="DD128" i="1"/>
  <c r="CX128" i="1"/>
  <c r="CW128" i="1"/>
  <c r="CU128" i="1"/>
  <c r="CV128" i="1"/>
  <c r="AS53" i="1"/>
  <c r="BL82" i="1"/>
  <c r="BL81" i="1"/>
  <c r="BL80" i="1"/>
  <c r="BL79" i="1"/>
  <c r="BL78" i="1"/>
  <c r="BL77" i="1"/>
  <c r="BL76" i="1"/>
  <c r="BL75" i="1"/>
  <c r="BL74" i="1"/>
  <c r="BL73" i="1"/>
  <c r="BL65" i="1"/>
  <c r="BL64" i="1"/>
  <c r="BL63" i="1"/>
  <c r="BL62" i="1"/>
  <c r="BL61" i="1"/>
  <c r="BL60" i="1"/>
  <c r="BL59" i="1"/>
  <c r="BL58" i="1"/>
  <c r="BL57" i="1"/>
  <c r="BL56" i="1"/>
  <c r="E15" i="5"/>
  <c r="E17" i="1"/>
  <c r="B166" i="1"/>
  <c r="B152" i="1"/>
  <c r="B89" i="1"/>
  <c r="B72" i="1"/>
  <c r="D121" i="1"/>
  <c r="AR43" i="1"/>
  <c r="AR44" i="1"/>
  <c r="AR26" i="1"/>
  <c r="AR27" i="1"/>
  <c r="E10" i="5"/>
  <c r="B34" i="5"/>
  <c r="B48" i="5"/>
  <c r="E4" i="5"/>
  <c r="E5" i="5"/>
  <c r="E6" i="5"/>
  <c r="E8" i="5"/>
  <c r="E9" i="5"/>
  <c r="E3" i="5"/>
  <c r="AR42" i="1"/>
  <c r="AR41" i="1"/>
  <c r="AR40" i="1"/>
  <c r="AR39" i="1"/>
  <c r="AR38" i="1"/>
  <c r="AR37" i="1"/>
  <c r="AR36" i="1"/>
  <c r="AR35" i="1"/>
  <c r="AR25" i="1"/>
  <c r="AR24" i="1"/>
  <c r="AR23" i="1"/>
  <c r="AR22" i="1"/>
  <c r="AR21" i="1"/>
  <c r="AR20" i="1"/>
  <c r="AR19" i="1"/>
  <c r="AR18" i="1"/>
  <c r="E100" i="1"/>
  <c r="E99" i="1"/>
  <c r="E98" i="1"/>
  <c r="E96" i="1"/>
  <c r="E95" i="1"/>
  <c r="E94" i="1"/>
  <c r="E93" i="1"/>
  <c r="BQ139" i="1"/>
  <c r="D107" i="1"/>
  <c r="D35" i="5"/>
  <c r="BL144" i="1"/>
  <c r="BQ140" i="1"/>
  <c r="BD157" i="1"/>
  <c r="AZ154" i="1"/>
  <c r="P127" i="1"/>
  <c r="D108" i="1"/>
  <c r="AZ159" i="1"/>
  <c r="L112" i="1"/>
  <c r="AV158" i="1"/>
  <c r="AJ142" i="1"/>
  <c r="BQ141" i="1"/>
  <c r="D109" i="1"/>
  <c r="D140" i="1"/>
  <c r="BQ142" i="1"/>
  <c r="D110" i="1"/>
  <c r="BQ143" i="1"/>
  <c r="D111" i="1"/>
  <c r="D142" i="1"/>
  <c r="D112" i="1"/>
  <c r="BQ144" i="1"/>
  <c r="BQ145" i="1"/>
  <c r="D113" i="1"/>
  <c r="D144" i="1"/>
  <c r="L162" i="1" l="1"/>
  <c r="X139" i="1"/>
  <c r="AR154" i="1"/>
  <c r="BD156" i="1"/>
  <c r="H159" i="1"/>
  <c r="H155" i="1"/>
  <c r="AV157" i="1"/>
  <c r="H150" i="1"/>
  <c r="P160" i="1"/>
  <c r="V48" i="5"/>
  <c r="H141" i="1"/>
  <c r="M27" i="5"/>
  <c r="X141" i="1"/>
  <c r="Q21" i="5"/>
  <c r="S23" i="5"/>
  <c r="R26" i="5"/>
  <c r="S31" i="5"/>
  <c r="R35" i="5"/>
  <c r="S40" i="5"/>
  <c r="R43" i="5"/>
  <c r="Q27" i="5"/>
  <c r="AJ148" i="1"/>
  <c r="W21" i="5"/>
  <c r="V24" i="5"/>
  <c r="U27" i="5"/>
  <c r="W29" i="5"/>
  <c r="V32" i="5"/>
  <c r="W38" i="5"/>
  <c r="V41" i="5"/>
  <c r="W46" i="5"/>
  <c r="T124" i="1"/>
  <c r="P126" i="1"/>
  <c r="AJ121" i="1"/>
  <c r="G42" i="5"/>
  <c r="K38" i="5"/>
  <c r="J41" i="5"/>
  <c r="K46" i="5"/>
  <c r="AF125" i="1"/>
  <c r="AJ128" i="1"/>
  <c r="P109" i="1"/>
  <c r="T107" i="1"/>
  <c r="AJ115" i="1"/>
  <c r="AB111" i="1"/>
  <c r="H113" i="1"/>
  <c r="H109" i="1"/>
  <c r="G25" i="5"/>
  <c r="G33" i="5"/>
  <c r="P111" i="1"/>
  <c r="K21" i="5"/>
  <c r="J24" i="5"/>
  <c r="I27" i="5"/>
  <c r="K29" i="5"/>
  <c r="J32" i="5"/>
  <c r="AN107" i="1"/>
  <c r="H128" i="1"/>
  <c r="M26" i="5"/>
  <c r="G26" i="5"/>
  <c r="D153" i="1"/>
  <c r="H163" i="1"/>
  <c r="E21" i="5"/>
  <c r="H146" i="1"/>
  <c r="H142" i="1"/>
  <c r="AB149" i="1"/>
  <c r="AV147" i="1"/>
  <c r="G43" i="5"/>
  <c r="L108" i="1"/>
  <c r="L116" i="1"/>
  <c r="L125" i="1"/>
  <c r="L133" i="1"/>
  <c r="P114" i="1"/>
  <c r="P123" i="1"/>
  <c r="P131" i="1"/>
  <c r="T112" i="1"/>
  <c r="T121" i="1"/>
  <c r="T129" i="1"/>
  <c r="X110" i="1"/>
  <c r="X118" i="1"/>
  <c r="X127" i="1"/>
  <c r="AB108" i="1"/>
  <c r="K24" i="5"/>
  <c r="J27" i="5"/>
  <c r="AB116" i="1"/>
  <c r="J36" i="5"/>
  <c r="AB125" i="1"/>
  <c r="K41" i="5"/>
  <c r="J44" i="5"/>
  <c r="AB133" i="1"/>
  <c r="AF114" i="1"/>
  <c r="AF123" i="1"/>
  <c r="AF131" i="1"/>
  <c r="AJ112" i="1"/>
  <c r="AJ129" i="1"/>
  <c r="AN110" i="1"/>
  <c r="AN118" i="1"/>
  <c r="AN127" i="1"/>
  <c r="AR108" i="1"/>
  <c r="AR116" i="1"/>
  <c r="AR125" i="1"/>
  <c r="AR133" i="1"/>
  <c r="L142" i="1"/>
  <c r="L150" i="1"/>
  <c r="L159" i="1"/>
  <c r="P140" i="1"/>
  <c r="P148" i="1"/>
  <c r="P157" i="1"/>
  <c r="P165" i="1"/>
  <c r="T155" i="1"/>
  <c r="T163" i="1"/>
  <c r="X144" i="1"/>
  <c r="X153" i="1"/>
  <c r="X161" i="1"/>
  <c r="AB142" i="1"/>
  <c r="R29" i="5"/>
  <c r="S35" i="5"/>
  <c r="R38" i="5"/>
  <c r="AB159" i="1"/>
  <c r="S43" i="5"/>
  <c r="R46" i="5"/>
  <c r="AF140" i="1"/>
  <c r="AF148" i="1"/>
  <c r="AF157" i="1"/>
  <c r="AF165" i="1"/>
  <c r="AJ146" i="1"/>
  <c r="AJ155" i="1"/>
  <c r="AJ163" i="1"/>
  <c r="AN144" i="1"/>
  <c r="AN153" i="1"/>
  <c r="AN161" i="1"/>
  <c r="AR142" i="1"/>
  <c r="AR150" i="1"/>
  <c r="AR159" i="1"/>
  <c r="AV140" i="1"/>
  <c r="W24" i="5"/>
  <c r="AV148" i="1"/>
  <c r="V36" i="5"/>
  <c r="W41" i="5"/>
  <c r="V44" i="5"/>
  <c r="AV165" i="1"/>
  <c r="AZ146" i="1"/>
  <c r="AZ155" i="1"/>
  <c r="AZ163" i="1"/>
  <c r="BD144" i="1"/>
  <c r="BD161" i="1"/>
  <c r="BH142" i="1"/>
  <c r="BH150" i="1"/>
  <c r="BH159" i="1"/>
  <c r="BL140" i="1"/>
  <c r="BL148" i="1"/>
  <c r="BL165" i="1"/>
  <c r="H117" i="1"/>
  <c r="G21" i="5"/>
  <c r="G29" i="5"/>
  <c r="G38" i="5"/>
  <c r="G46" i="5"/>
  <c r="L111" i="1"/>
  <c r="L119" i="1"/>
  <c r="L128" i="1"/>
  <c r="P117" i="1"/>
  <c r="P129" i="1"/>
  <c r="T115" i="1"/>
  <c r="T132" i="1"/>
  <c r="X113" i="1"/>
  <c r="K25" i="5"/>
  <c r="J28" i="5"/>
  <c r="L28" i="5" s="1"/>
  <c r="K33" i="5"/>
  <c r="J37" i="5"/>
  <c r="K42" i="5"/>
  <c r="J45" i="5"/>
  <c r="I21" i="5"/>
  <c r="AF109" i="1"/>
  <c r="AF117" i="1"/>
  <c r="AF126" i="1"/>
  <c r="AJ107" i="1"/>
  <c r="AJ124" i="1"/>
  <c r="AJ132" i="1"/>
  <c r="AN113" i="1"/>
  <c r="AN116" i="1"/>
  <c r="AN122" i="1"/>
  <c r="AN130" i="1"/>
  <c r="AR111" i="1"/>
  <c r="AR119" i="1"/>
  <c r="L145" i="1"/>
  <c r="L154" i="1"/>
  <c r="P143" i="1"/>
  <c r="P151" i="1"/>
  <c r="T141" i="1"/>
  <c r="T149" i="1"/>
  <c r="T158" i="1"/>
  <c r="X147" i="1"/>
  <c r="X156" i="1"/>
  <c r="X164" i="1"/>
  <c r="R22" i="5"/>
  <c r="S27" i="5"/>
  <c r="R30" i="5"/>
  <c r="S36" i="5"/>
  <c r="R39" i="5"/>
  <c r="S44" i="5"/>
  <c r="R47" i="5"/>
  <c r="AF143" i="1"/>
  <c r="AF151" i="1"/>
  <c r="AF160" i="1"/>
  <c r="AJ141" i="1"/>
  <c r="AJ149" i="1"/>
  <c r="AJ158" i="1"/>
  <c r="AN139" i="1"/>
  <c r="AN147" i="1"/>
  <c r="AN156" i="1"/>
  <c r="AN164" i="1"/>
  <c r="AR145" i="1"/>
  <c r="AR162" i="1"/>
  <c r="W25" i="5"/>
  <c r="V28" i="5"/>
  <c r="U31" i="5"/>
  <c r="W33" i="5"/>
  <c r="V37" i="5"/>
  <c r="W42" i="5"/>
  <c r="V45" i="5"/>
  <c r="U21" i="5"/>
  <c r="AZ141" i="1"/>
  <c r="AZ149" i="1"/>
  <c r="AZ158" i="1"/>
  <c r="BD147" i="1"/>
  <c r="BD164" i="1"/>
  <c r="BH145" i="1"/>
  <c r="BH154" i="1"/>
  <c r="BH162" i="1"/>
  <c r="BL143" i="1"/>
  <c r="BL146" i="1"/>
  <c r="BL151" i="1"/>
  <c r="BL160" i="1"/>
  <c r="J23" i="5"/>
  <c r="J31" i="5"/>
  <c r="J40" i="5"/>
  <c r="R42" i="5"/>
  <c r="S47" i="5"/>
  <c r="V23" i="5"/>
  <c r="U26" i="5"/>
  <c r="V31" i="5"/>
  <c r="W37" i="5"/>
  <c r="V40" i="5"/>
  <c r="W45" i="5"/>
  <c r="H118" i="1"/>
  <c r="H130" i="1"/>
  <c r="H107" i="1"/>
  <c r="AV156" i="1"/>
  <c r="AB127" i="1"/>
  <c r="H111" i="1"/>
  <c r="AB158" i="1"/>
  <c r="AB115" i="1"/>
  <c r="H132" i="1"/>
  <c r="AV160" i="1"/>
  <c r="AV139" i="1"/>
  <c r="H124" i="1"/>
  <c r="AB124" i="1"/>
  <c r="D22" i="5"/>
  <c r="AB141" i="1"/>
  <c r="H119" i="1"/>
  <c r="AB128" i="1"/>
  <c r="K48" i="5"/>
  <c r="O48" i="5"/>
  <c r="AB113" i="1"/>
  <c r="AB107" i="1"/>
  <c r="AB154" i="1"/>
  <c r="AB132" i="1"/>
  <c r="AB145" i="1"/>
  <c r="AB165" i="1"/>
  <c r="AV164" i="1"/>
  <c r="AB162" i="1"/>
  <c r="E27" i="5"/>
  <c r="CU137" i="1"/>
  <c r="CV137" i="1" s="1"/>
  <c r="CW137" i="1" s="1"/>
  <c r="CX137" i="1" s="1"/>
  <c r="CY137" i="1" s="1"/>
  <c r="CZ137" i="1" s="1"/>
  <c r="DA137" i="1" s="1"/>
  <c r="DB137" i="1" s="1"/>
  <c r="DC137" i="1" s="1"/>
  <c r="DD137" i="1" s="1"/>
  <c r="F28" i="5"/>
  <c r="F32" i="5"/>
  <c r="F37" i="5"/>
  <c r="F41" i="5"/>
  <c r="L109" i="1"/>
  <c r="L110" i="1"/>
  <c r="L113" i="1"/>
  <c r="L114" i="1"/>
  <c r="L117" i="1"/>
  <c r="L118" i="1"/>
  <c r="L123" i="1"/>
  <c r="L126" i="1"/>
  <c r="L127" i="1"/>
  <c r="L130" i="1"/>
  <c r="L131" i="1"/>
  <c r="P107" i="1"/>
  <c r="P108" i="1"/>
  <c r="P112" i="1"/>
  <c r="P115" i="1"/>
  <c r="P116" i="1"/>
  <c r="P119" i="1"/>
  <c r="P121" i="1"/>
  <c r="P124" i="1"/>
  <c r="P125" i="1"/>
  <c r="P128" i="1"/>
  <c r="P132" i="1"/>
  <c r="P133" i="1"/>
  <c r="T109" i="1"/>
  <c r="T110" i="1"/>
  <c r="T113" i="1"/>
  <c r="T114" i="1"/>
  <c r="T117" i="1"/>
  <c r="T118" i="1"/>
  <c r="T122" i="1"/>
  <c r="T123" i="1"/>
  <c r="T126" i="1"/>
  <c r="T127" i="1"/>
  <c r="T130" i="1"/>
  <c r="T131" i="1"/>
  <c r="X107" i="1"/>
  <c r="X111" i="1"/>
  <c r="X112" i="1"/>
  <c r="X115" i="1"/>
  <c r="X116" i="1"/>
  <c r="X119" i="1"/>
  <c r="X121" i="1"/>
  <c r="X124" i="1"/>
  <c r="X128" i="1"/>
  <c r="X129" i="1"/>
  <c r="X132" i="1"/>
  <c r="X133" i="1"/>
  <c r="AF107" i="1"/>
  <c r="AF108" i="1"/>
  <c r="AF111" i="1"/>
  <c r="AF112" i="1"/>
  <c r="AF115" i="1"/>
  <c r="AF116" i="1"/>
  <c r="AF119" i="1"/>
  <c r="AF121" i="1"/>
  <c r="AF124" i="1"/>
  <c r="AF128" i="1"/>
  <c r="AF129" i="1"/>
  <c r="AF132" i="1"/>
  <c r="AF133" i="1"/>
  <c r="AJ109" i="1"/>
  <c r="AJ110" i="1"/>
  <c r="AJ113" i="1"/>
  <c r="AJ114" i="1"/>
  <c r="AJ117" i="1"/>
  <c r="AJ118" i="1"/>
  <c r="AJ122" i="1"/>
  <c r="AJ123" i="1"/>
  <c r="AJ126" i="1"/>
  <c r="AJ127" i="1"/>
  <c r="AJ130" i="1"/>
  <c r="AN108" i="1"/>
  <c r="AN111" i="1"/>
  <c r="AN112" i="1"/>
  <c r="AN115" i="1"/>
  <c r="AN119" i="1"/>
  <c r="AN121" i="1"/>
  <c r="AN124" i="1"/>
  <c r="AN125" i="1"/>
  <c r="AN128" i="1"/>
  <c r="AN129" i="1"/>
  <c r="AN132" i="1"/>
  <c r="AN133" i="1"/>
  <c r="AR109" i="1"/>
  <c r="AR110" i="1"/>
  <c r="AR113" i="1"/>
  <c r="AR114" i="1"/>
  <c r="AR117" i="1"/>
  <c r="AR118" i="1"/>
  <c r="AR123" i="1"/>
  <c r="AR126" i="1"/>
  <c r="AR127" i="1"/>
  <c r="AR130" i="1"/>
  <c r="AR131" i="1"/>
  <c r="O21" i="5"/>
  <c r="O23" i="5"/>
  <c r="O36" i="5"/>
  <c r="O40" i="5"/>
  <c r="O42" i="5"/>
  <c r="O44" i="5"/>
  <c r="O46" i="5"/>
  <c r="L139" i="1"/>
  <c r="L140" i="1"/>
  <c r="L143" i="1"/>
  <c r="L144" i="1"/>
  <c r="L147" i="1"/>
  <c r="L148" i="1"/>
  <c r="L153" i="1"/>
  <c r="L156" i="1"/>
  <c r="L157" i="1"/>
  <c r="L160" i="1"/>
  <c r="L161" i="1"/>
  <c r="L164" i="1"/>
  <c r="L165" i="1"/>
  <c r="P141" i="1"/>
  <c r="P142" i="1"/>
  <c r="P145" i="1"/>
  <c r="P146" i="1"/>
  <c r="P149" i="1"/>
  <c r="P150" i="1"/>
  <c r="P154" i="1"/>
  <c r="P155" i="1"/>
  <c r="P158" i="1"/>
  <c r="P159" i="1"/>
  <c r="P162" i="1"/>
  <c r="P163" i="1"/>
  <c r="T139" i="1"/>
  <c r="T140" i="1"/>
  <c r="T143" i="1"/>
  <c r="T144" i="1"/>
  <c r="T147" i="1"/>
  <c r="T148" i="1"/>
  <c r="T151" i="1"/>
  <c r="T153" i="1"/>
  <c r="T157" i="1"/>
  <c r="T160" i="1"/>
  <c r="T161" i="1"/>
  <c r="T164" i="1"/>
  <c r="T165" i="1"/>
  <c r="X142" i="1"/>
  <c r="X146" i="1"/>
  <c r="X149" i="1"/>
  <c r="X150" i="1"/>
  <c r="X154" i="1"/>
  <c r="X155" i="1"/>
  <c r="X158" i="1"/>
  <c r="X159" i="1"/>
  <c r="X162" i="1"/>
  <c r="X163" i="1"/>
  <c r="AF141" i="1"/>
  <c r="AF142" i="1"/>
  <c r="AF145" i="1"/>
  <c r="AF146" i="1"/>
  <c r="AF149" i="1"/>
  <c r="AF150" i="1"/>
  <c r="AF154" i="1"/>
  <c r="AF155" i="1"/>
  <c r="AF158" i="1"/>
  <c r="AF159" i="1"/>
  <c r="AF162" i="1"/>
  <c r="AF163" i="1"/>
  <c r="AJ139" i="1"/>
  <c r="AJ140" i="1"/>
  <c r="AJ143" i="1"/>
  <c r="J48" i="5"/>
  <c r="R48" i="5"/>
  <c r="G23" i="5"/>
  <c r="G27" i="5"/>
  <c r="G31" i="5"/>
  <c r="G36" i="5"/>
  <c r="G40" i="5"/>
  <c r="G44" i="5"/>
  <c r="J22" i="5"/>
  <c r="K23" i="5"/>
  <c r="J26" i="5"/>
  <c r="K27" i="5"/>
  <c r="L27" i="5" s="1"/>
  <c r="J30" i="5"/>
  <c r="K31" i="5"/>
  <c r="J35" i="5"/>
  <c r="K36" i="5"/>
  <c r="J39" i="5"/>
  <c r="K40" i="5"/>
  <c r="J43" i="5"/>
  <c r="K44" i="5"/>
  <c r="J47" i="5"/>
  <c r="N22" i="5"/>
  <c r="N24" i="5"/>
  <c r="N26" i="5"/>
  <c r="N28" i="5"/>
  <c r="N30" i="5"/>
  <c r="N32" i="5"/>
  <c r="N35" i="5"/>
  <c r="N37" i="5"/>
  <c r="N39" i="5"/>
  <c r="N41" i="5"/>
  <c r="N43" i="5"/>
  <c r="N45" i="5"/>
  <c r="N47" i="5"/>
  <c r="S21" i="5"/>
  <c r="R24" i="5"/>
  <c r="S25" i="5"/>
  <c r="R28" i="5"/>
  <c r="S29" i="5"/>
  <c r="R32" i="5"/>
  <c r="T32" i="5" s="1"/>
  <c r="S33" i="5"/>
  <c r="R37" i="5"/>
  <c r="S38" i="5"/>
  <c r="R41" i="5"/>
  <c r="S42" i="5"/>
  <c r="R45" i="5"/>
  <c r="S46" i="5"/>
  <c r="F22" i="5"/>
  <c r="F26" i="5"/>
  <c r="F30" i="5"/>
  <c r="F35" i="5"/>
  <c r="F39" i="5"/>
  <c r="F43" i="5"/>
  <c r="F47" i="5"/>
  <c r="AJ144" i="1"/>
  <c r="AJ147" i="1"/>
  <c r="AJ151" i="1"/>
  <c r="AJ156" i="1"/>
  <c r="AJ157" i="1"/>
  <c r="AJ160" i="1"/>
  <c r="AJ161" i="1"/>
  <c r="AJ164" i="1"/>
  <c r="AJ165" i="1"/>
  <c r="AN141" i="1"/>
  <c r="AN142" i="1"/>
  <c r="AN145" i="1"/>
  <c r="AN146" i="1"/>
  <c r="AN149" i="1"/>
  <c r="AN150" i="1"/>
  <c r="AN155" i="1"/>
  <c r="AN158" i="1"/>
  <c r="AN159" i="1"/>
  <c r="AN162" i="1"/>
  <c r="AN163" i="1"/>
  <c r="AR139" i="1"/>
  <c r="AR140" i="1"/>
  <c r="AR143" i="1"/>
  <c r="AR144" i="1"/>
  <c r="AR147" i="1"/>
  <c r="AR148" i="1"/>
  <c r="AR151" i="1"/>
  <c r="AR153" i="1"/>
  <c r="AR156" i="1"/>
  <c r="AR160" i="1"/>
  <c r="AR161" i="1"/>
  <c r="AR164" i="1"/>
  <c r="AR165" i="1"/>
  <c r="AZ139" i="1"/>
  <c r="AZ140" i="1"/>
  <c r="AZ143" i="1"/>
  <c r="AZ144" i="1"/>
  <c r="AZ147" i="1"/>
  <c r="AZ148" i="1"/>
  <c r="U32" i="5"/>
  <c r="AZ151" i="1"/>
  <c r="AZ153" i="1"/>
  <c r="AZ156" i="1"/>
  <c r="AZ157" i="1"/>
  <c r="AZ160" i="1"/>
  <c r="AZ161" i="1"/>
  <c r="AZ164" i="1"/>
  <c r="AZ165" i="1"/>
  <c r="BD141" i="1"/>
  <c r="BD142" i="1"/>
  <c r="BD145" i="1"/>
  <c r="BD146" i="1"/>
  <c r="BD149" i="1"/>
  <c r="BD150" i="1"/>
  <c r="BD154" i="1"/>
  <c r="BD155" i="1"/>
  <c r="BD158" i="1"/>
  <c r="BD159" i="1"/>
  <c r="BD162" i="1"/>
  <c r="BD163" i="1"/>
  <c r="BH139" i="1"/>
  <c r="BH140" i="1"/>
  <c r="BH143" i="1"/>
  <c r="BH144" i="1"/>
  <c r="BH147" i="1"/>
  <c r="BH148" i="1"/>
  <c r="BH151" i="1"/>
  <c r="BH153" i="1"/>
  <c r="BH156" i="1"/>
  <c r="BH157" i="1"/>
  <c r="BH160" i="1"/>
  <c r="BH161" i="1"/>
  <c r="BH164" i="1"/>
  <c r="BH165" i="1"/>
  <c r="BL141" i="1"/>
  <c r="BL142" i="1"/>
  <c r="BL145" i="1"/>
  <c r="BL149" i="1"/>
  <c r="BL150" i="1"/>
  <c r="BL154" i="1"/>
  <c r="BL155" i="1"/>
  <c r="BL158" i="1"/>
  <c r="BL159" i="1"/>
  <c r="BL162" i="1"/>
  <c r="BL163" i="1"/>
  <c r="V22" i="5"/>
  <c r="W23" i="5"/>
  <c r="V26" i="5"/>
  <c r="X26" i="5" s="1"/>
  <c r="W27" i="5"/>
  <c r="V30" i="5"/>
  <c r="W31" i="5"/>
  <c r="V35" i="5"/>
  <c r="W36" i="5"/>
  <c r="V39" i="5"/>
  <c r="W40" i="5"/>
  <c r="V43" i="5"/>
  <c r="W44" i="5"/>
  <c r="V47" i="5"/>
  <c r="M21" i="5"/>
  <c r="H139" i="1"/>
  <c r="G35" i="5"/>
  <c r="H121" i="1"/>
  <c r="G47" i="5"/>
  <c r="H133" i="1"/>
  <c r="K28" i="5"/>
  <c r="AB114" i="1"/>
  <c r="K45" i="5"/>
  <c r="AB131" i="1"/>
  <c r="O27" i="5"/>
  <c r="H145" i="1"/>
  <c r="O29" i="5"/>
  <c r="H147" i="1"/>
  <c r="O33" i="5"/>
  <c r="H151" i="1"/>
  <c r="O38" i="5"/>
  <c r="H156" i="1"/>
  <c r="R21" i="5"/>
  <c r="AB139" i="1"/>
  <c r="S22" i="5"/>
  <c r="AB140" i="1"/>
  <c r="Q32" i="5"/>
  <c r="AB150" i="1"/>
  <c r="H112" i="1"/>
  <c r="AV144" i="1"/>
  <c r="AB109" i="1"/>
  <c r="H144" i="1"/>
  <c r="H158" i="1"/>
  <c r="H162" i="1"/>
  <c r="AB160" i="1"/>
  <c r="G22" i="5"/>
  <c r="H108" i="1"/>
  <c r="G30" i="5"/>
  <c r="H116" i="1"/>
  <c r="G39" i="5"/>
  <c r="H125" i="1"/>
  <c r="K32" i="5"/>
  <c r="AB118" i="1"/>
  <c r="K37" i="5"/>
  <c r="AB123" i="1"/>
  <c r="O25" i="5"/>
  <c r="H143" i="1"/>
  <c r="R25" i="5"/>
  <c r="AB143" i="1"/>
  <c r="S26" i="5"/>
  <c r="AB144" i="1"/>
  <c r="S30" i="5"/>
  <c r="AB148" i="1"/>
  <c r="S39" i="5"/>
  <c r="AB157" i="1"/>
  <c r="Q26" i="5"/>
  <c r="AF144" i="1"/>
  <c r="AB130" i="1"/>
  <c r="AZ150" i="1"/>
  <c r="H164" i="1"/>
  <c r="AB161" i="1"/>
  <c r="F24" i="5"/>
  <c r="H110" i="1"/>
  <c r="F45" i="5"/>
  <c r="H131" i="1"/>
  <c r="I32" i="5"/>
  <c r="L32" i="5" s="1"/>
  <c r="AF118" i="1"/>
  <c r="O31" i="5"/>
  <c r="H149" i="1"/>
  <c r="R33" i="5"/>
  <c r="AB151" i="1"/>
  <c r="V27" i="5"/>
  <c r="AV145" i="1"/>
  <c r="W28" i="5"/>
  <c r="AV146" i="1"/>
  <c r="W32" i="5"/>
  <c r="X32" i="5" s="1"/>
  <c r="AV150" i="1"/>
  <c r="AV141" i="1"/>
  <c r="AV154" i="1"/>
  <c r="AB156" i="1"/>
  <c r="AV155" i="1"/>
  <c r="AB110" i="1"/>
  <c r="AB126" i="1"/>
  <c r="AV142" i="1"/>
  <c r="AB117" i="1"/>
  <c r="H114" i="1"/>
  <c r="AV149" i="1"/>
  <c r="AB147" i="1"/>
  <c r="AB164" i="1"/>
  <c r="AV163" i="1"/>
  <c r="AV162" i="1"/>
  <c r="H160" i="1"/>
  <c r="S48" i="5"/>
  <c r="F23" i="5"/>
  <c r="F27" i="5"/>
  <c r="F31" i="5"/>
  <c r="F36" i="5"/>
  <c r="F40" i="5"/>
  <c r="F44" i="5"/>
  <c r="N21" i="5"/>
  <c r="N23" i="5"/>
  <c r="N25" i="5"/>
  <c r="N27" i="5"/>
  <c r="P27" i="5" s="1"/>
  <c r="N29" i="5"/>
  <c r="N31" i="5"/>
  <c r="N33" i="5"/>
  <c r="N36" i="5"/>
  <c r="N38" i="5"/>
  <c r="N40" i="5"/>
  <c r="N42" i="5"/>
  <c r="N44" i="5"/>
  <c r="N46" i="5"/>
  <c r="F21" i="5"/>
  <c r="F25" i="5"/>
  <c r="F29" i="5"/>
  <c r="F33" i="5"/>
  <c r="F38" i="5"/>
  <c r="F42" i="5"/>
  <c r="F46" i="5"/>
  <c r="M32" i="5"/>
  <c r="F34" i="5"/>
  <c r="N34" i="5"/>
  <c r="V34" i="5"/>
  <c r="G24" i="5"/>
  <c r="G28" i="5"/>
  <c r="G32" i="5"/>
  <c r="G37" i="5"/>
  <c r="G41" i="5"/>
  <c r="G45" i="5"/>
  <c r="J21" i="5"/>
  <c r="L21" i="5" s="1"/>
  <c r="K22" i="5"/>
  <c r="J25" i="5"/>
  <c r="K26" i="5"/>
  <c r="J29" i="5"/>
  <c r="K30" i="5"/>
  <c r="J33" i="5"/>
  <c r="K35" i="5"/>
  <c r="J38" i="5"/>
  <c r="K39" i="5"/>
  <c r="J42" i="5"/>
  <c r="K43" i="5"/>
  <c r="J46" i="5"/>
  <c r="K47" i="5"/>
  <c r="O22" i="5"/>
  <c r="O24" i="5"/>
  <c r="O26" i="5"/>
  <c r="O28" i="5"/>
  <c r="O30" i="5"/>
  <c r="O32" i="5"/>
  <c r="O35" i="5"/>
  <c r="O37" i="5"/>
  <c r="O39" i="5"/>
  <c r="O41" i="5"/>
  <c r="O43" i="5"/>
  <c r="O45" i="5"/>
  <c r="O47" i="5"/>
  <c r="R23" i="5"/>
  <c r="S24" i="5"/>
  <c r="R27" i="5"/>
  <c r="T27" i="5" s="1"/>
  <c r="S28" i="5"/>
  <c r="R31" i="5"/>
  <c r="S32" i="5"/>
  <c r="R36" i="5"/>
  <c r="S37" i="5"/>
  <c r="R40" i="5"/>
  <c r="S41" i="5"/>
  <c r="R44" i="5"/>
  <c r="S45" i="5"/>
  <c r="V21" i="5"/>
  <c r="W22" i="5"/>
  <c r="V25" i="5"/>
  <c r="W26" i="5"/>
  <c r="V29" i="5"/>
  <c r="W30" i="5"/>
  <c r="V33" i="5"/>
  <c r="W35" i="5"/>
  <c r="V38" i="5"/>
  <c r="W39" i="5"/>
  <c r="V42" i="5"/>
  <c r="W43" i="5"/>
  <c r="V46" i="5"/>
  <c r="W47" i="5"/>
  <c r="D21" i="5"/>
  <c r="G48" i="5"/>
  <c r="J34" i="5"/>
  <c r="R34" i="5"/>
  <c r="F48" i="5"/>
  <c r="N48" i="5"/>
  <c r="G120" i="1"/>
  <c r="O120" i="1"/>
  <c r="W120" i="1"/>
  <c r="AI120" i="1"/>
  <c r="AQ120" i="1"/>
  <c r="S152" i="1"/>
  <c r="O34" i="5" s="1"/>
  <c r="AI152" i="1"/>
  <c r="AM152" i="1"/>
  <c r="BL152" i="1"/>
  <c r="CT128" i="1" s="1"/>
  <c r="BK152" i="1"/>
  <c r="W34" i="5" s="1"/>
  <c r="W48" i="5"/>
  <c r="U30" i="5"/>
  <c r="Q30" i="5"/>
  <c r="M30" i="5"/>
  <c r="AV153" i="1"/>
  <c r="I30" i="5"/>
  <c r="U24" i="5"/>
  <c r="Q24" i="5"/>
  <c r="M24" i="5"/>
  <c r="U29" i="5"/>
  <c r="U25" i="5"/>
  <c r="Q25" i="5"/>
  <c r="AJ153" i="1"/>
  <c r="E32" i="5"/>
  <c r="H32" i="5" s="1"/>
  <c r="Q31" i="5"/>
  <c r="T31" i="5" s="1"/>
  <c r="M31" i="5"/>
  <c r="Q29" i="5"/>
  <c r="M29" i="5"/>
  <c r="U22" i="5"/>
  <c r="Q22" i="5"/>
  <c r="M22" i="5"/>
  <c r="I22" i="5"/>
  <c r="U33" i="5"/>
  <c r="U28" i="5"/>
  <c r="X28" i="5" s="1"/>
  <c r="Q28" i="5"/>
  <c r="AR122" i="1"/>
  <c r="L122" i="1"/>
  <c r="Q33" i="5"/>
  <c r="T33" i="5" s="1"/>
  <c r="M33" i="5"/>
  <c r="I31" i="5"/>
  <c r="I29" i="5"/>
  <c r="L29" i="5" s="1"/>
  <c r="E29" i="5"/>
  <c r="AB153" i="1"/>
  <c r="M25" i="5"/>
  <c r="I25" i="5"/>
  <c r="E25" i="5"/>
  <c r="H25" i="5" s="1"/>
  <c r="U23" i="5"/>
  <c r="X23" i="5" s="1"/>
  <c r="Q23" i="5"/>
  <c r="T23" i="5" s="1"/>
  <c r="M23" i="5"/>
  <c r="I23" i="5"/>
  <c r="I33" i="5"/>
  <c r="E33" i="5"/>
  <c r="E30" i="5"/>
  <c r="E23" i="5"/>
  <c r="H23" i="5" s="1"/>
  <c r="E22" i="5"/>
  <c r="AB122" i="1"/>
  <c r="E31" i="5"/>
  <c r="M28" i="5"/>
  <c r="I28" i="5"/>
  <c r="E28" i="5"/>
  <c r="I26" i="5"/>
  <c r="E26" i="5"/>
  <c r="I24" i="5"/>
  <c r="L24" i="5" s="1"/>
  <c r="E24" i="5"/>
  <c r="BL157" i="1"/>
  <c r="X125" i="1"/>
  <c r="BL153" i="1"/>
  <c r="BD153" i="1"/>
  <c r="P153" i="1"/>
  <c r="H153" i="1"/>
  <c r="D143" i="1"/>
  <c r="D141" i="1"/>
  <c r="D139" i="1"/>
  <c r="X122" i="1"/>
  <c r="P122" i="1"/>
  <c r="H122" i="1"/>
  <c r="AF152" i="1"/>
  <c r="AR152" i="1"/>
  <c r="CO141" i="1" s="1"/>
  <c r="AR157" i="1"/>
  <c r="CE137" i="1"/>
  <c r="CO137" i="1" s="1"/>
  <c r="L134" i="1"/>
  <c r="BW142" i="1" s="1"/>
  <c r="BD152" i="1"/>
  <c r="CR141" i="1" s="1"/>
  <c r="H152" i="1"/>
  <c r="CF141" i="1" s="1"/>
  <c r="CA137" i="1"/>
  <c r="CK137" i="1" s="1"/>
  <c r="BZ137" i="1"/>
  <c r="CJ137" i="1" s="1"/>
  <c r="CF128" i="1"/>
  <c r="L166" i="1"/>
  <c r="CG142" i="1" s="1"/>
  <c r="AF166" i="1"/>
  <c r="CL142" i="1" s="1"/>
  <c r="T166" i="1"/>
  <c r="CI142" i="1" s="1"/>
  <c r="AJ134" i="1"/>
  <c r="CC142" i="1" s="1"/>
  <c r="CF137" i="1"/>
  <c r="BY137" i="1"/>
  <c r="CI137" i="1" s="1"/>
  <c r="CC137" i="1"/>
  <c r="CM137" i="1" s="1"/>
  <c r="BW137" i="1"/>
  <c r="CG137" i="1" s="1"/>
  <c r="CS137" i="1"/>
  <c r="CR137" i="1"/>
  <c r="CQ137" i="1"/>
  <c r="CP137" i="1"/>
  <c r="CD137" i="1"/>
  <c r="CN137" i="1" s="1"/>
  <c r="BX137" i="1"/>
  <c r="CH137" i="1" s="1"/>
  <c r="CB137" i="1"/>
  <c r="CL137" i="1" s="1"/>
  <c r="AF134" i="1"/>
  <c r="CB142" i="1" s="1"/>
  <c r="H120" i="1"/>
  <c r="BV141" i="1" s="1"/>
  <c r="AJ120" i="1"/>
  <c r="CC141" i="1" s="1"/>
  <c r="AF120" i="1"/>
  <c r="CB141" i="1" s="1"/>
  <c r="T134" i="1"/>
  <c r="BY142" i="1" s="1"/>
  <c r="AZ166" i="1"/>
  <c r="CQ142" i="1" s="1"/>
  <c r="AN166" i="1"/>
  <c r="CN142" i="1" s="1"/>
  <c r="P166" i="1"/>
  <c r="CH142" i="1" s="1"/>
  <c r="AJ152" i="1"/>
  <c r="CM141" i="1" s="1"/>
  <c r="T152" i="1"/>
  <c r="CI141" i="1" s="1"/>
  <c r="P152" i="1"/>
  <c r="CH141" i="1" s="1"/>
  <c r="AR120" i="1"/>
  <c r="CE141" i="1" s="1"/>
  <c r="U34" i="5"/>
  <c r="B155" i="1"/>
  <c r="D154" i="1"/>
  <c r="B122" i="1"/>
  <c r="I48" i="5"/>
  <c r="L48" i="5" s="1"/>
  <c r="AN134" i="1"/>
  <c r="CD142" i="1" s="1"/>
  <c r="P134" i="1"/>
  <c r="BX142" i="1" s="1"/>
  <c r="AJ166" i="1"/>
  <c r="CM142" i="1" s="1"/>
  <c r="CB135" i="1" s="1"/>
  <c r="Q48" i="5"/>
  <c r="T48" i="5" s="1"/>
  <c r="BH166" i="1"/>
  <c r="CS142" i="1" s="1"/>
  <c r="BD166" i="1"/>
  <c r="CR142" i="1" s="1"/>
  <c r="U48" i="5"/>
  <c r="P120" i="1"/>
  <c r="BX141" i="1" s="1"/>
  <c r="L120" i="1"/>
  <c r="BW141" i="1" s="1"/>
  <c r="AV152" i="1"/>
  <c r="CP141" i="1" s="1"/>
  <c r="BH152" i="1"/>
  <c r="CS128" i="1" s="1"/>
  <c r="X120" i="1"/>
  <c r="BZ141" i="1" s="1"/>
  <c r="L152" i="1"/>
  <c r="X152" i="1"/>
  <c r="CJ141" i="1" s="1"/>
  <c r="E34" i="5"/>
  <c r="E48" i="5"/>
  <c r="I34" i="5"/>
  <c r="M34" i="5"/>
  <c r="Q34" i="5"/>
  <c r="M48" i="5"/>
  <c r="U47" i="5"/>
  <c r="Q47" i="5"/>
  <c r="M47" i="5"/>
  <c r="I47" i="5"/>
  <c r="E47" i="5"/>
  <c r="U46" i="5"/>
  <c r="Q46" i="5"/>
  <c r="T46" i="5" s="1"/>
  <c r="M46" i="5"/>
  <c r="I46" i="5"/>
  <c r="L46" i="5" s="1"/>
  <c r="E46" i="5"/>
  <c r="U45" i="5"/>
  <c r="X45" i="5" s="1"/>
  <c r="Q45" i="5"/>
  <c r="M45" i="5"/>
  <c r="I45" i="5"/>
  <c r="L45" i="5" s="1"/>
  <c r="E45" i="5"/>
  <c r="U44" i="5"/>
  <c r="X44" i="5" s="1"/>
  <c r="Q44" i="5"/>
  <c r="M44" i="5"/>
  <c r="I44" i="5"/>
  <c r="E44" i="5"/>
  <c r="U43" i="5"/>
  <c r="Q43" i="5"/>
  <c r="T43" i="5" s="1"/>
  <c r="M43" i="5"/>
  <c r="X134" i="1"/>
  <c r="BZ142" i="1" s="1"/>
  <c r="AB134" i="1"/>
  <c r="CA142" i="1" s="1"/>
  <c r="AR51" i="1"/>
  <c r="AR134" i="1" s="1"/>
  <c r="CE142" i="1" s="1"/>
  <c r="H166" i="1"/>
  <c r="CF142" i="1" s="1"/>
  <c r="X166" i="1"/>
  <c r="CJ142" i="1" s="1"/>
  <c r="AB166" i="1"/>
  <c r="CK142" i="1" s="1"/>
  <c r="AR166" i="1"/>
  <c r="CO142" i="1" s="1"/>
  <c r="AV166" i="1"/>
  <c r="CP142" i="1" s="1"/>
  <c r="BL89" i="1"/>
  <c r="BL166" i="1" s="1"/>
  <c r="CT142" i="1" s="1"/>
  <c r="H134" i="1"/>
  <c r="BV142" i="1" s="1"/>
  <c r="T120" i="1"/>
  <c r="BY141" i="1" s="1"/>
  <c r="AN120" i="1"/>
  <c r="CD141" i="1" s="1"/>
  <c r="AZ152" i="1"/>
  <c r="CQ128" i="1" s="1"/>
  <c r="AB152" i="1"/>
  <c r="CK141" i="1" s="1"/>
  <c r="AB120" i="1"/>
  <c r="CA141" i="1" s="1"/>
  <c r="AN152" i="1"/>
  <c r="CN141" i="1" s="1"/>
  <c r="I43" i="5"/>
  <c r="E43" i="5"/>
  <c r="U42" i="5"/>
  <c r="Q42" i="5"/>
  <c r="T42" i="5" s="1"/>
  <c r="M42" i="5"/>
  <c r="I42" i="5"/>
  <c r="E42" i="5"/>
  <c r="U41" i="5"/>
  <c r="Q41" i="5"/>
  <c r="M41" i="5"/>
  <c r="P41" i="5" s="1"/>
  <c r="I41" i="5"/>
  <c r="L41" i="5" s="1"/>
  <c r="E41" i="5"/>
  <c r="U40" i="5"/>
  <c r="Q40" i="5"/>
  <c r="M40" i="5"/>
  <c r="I40" i="5"/>
  <c r="L40" i="5" s="1"/>
  <c r="E40" i="5"/>
  <c r="U39" i="5"/>
  <c r="Q39" i="5"/>
  <c r="M39" i="5"/>
  <c r="I39" i="5"/>
  <c r="L39" i="5" s="1"/>
  <c r="E39" i="5"/>
  <c r="H39" i="5" s="1"/>
  <c r="U38" i="5"/>
  <c r="X38" i="5" s="1"/>
  <c r="Q38" i="5"/>
  <c r="M38" i="5"/>
  <c r="I38" i="5"/>
  <c r="E38" i="5"/>
  <c r="H38" i="5" s="1"/>
  <c r="U37" i="5"/>
  <c r="Q37" i="5"/>
  <c r="M37" i="5"/>
  <c r="I37" i="5"/>
  <c r="E37" i="5"/>
  <c r="U36" i="5"/>
  <c r="Q36" i="5"/>
  <c r="M36" i="5"/>
  <c r="I36" i="5"/>
  <c r="E36" i="5"/>
  <c r="U35" i="5"/>
  <c r="Q35" i="5"/>
  <c r="M35" i="5"/>
  <c r="I35" i="5"/>
  <c r="E35" i="5"/>
  <c r="B115" i="1"/>
  <c r="D114" i="1"/>
  <c r="BQ146" i="1"/>
  <c r="D145" i="1"/>
  <c r="B146" i="1"/>
  <c r="B37" i="5"/>
  <c r="D36" i="5"/>
  <c r="X31" i="5"/>
  <c r="H30" i="5"/>
  <c r="P24" i="5"/>
  <c r="CT137" i="1"/>
  <c r="B24" i="5"/>
  <c r="D23" i="5"/>
  <c r="P45" i="5"/>
  <c r="T26" i="5"/>
  <c r="L23" i="5"/>
  <c r="T29" i="5"/>
  <c r="CQ141" i="1" l="1"/>
  <c r="X35" i="5"/>
  <c r="T40" i="5"/>
  <c r="P33" i="5"/>
  <c r="P21" i="5"/>
  <c r="P26" i="5"/>
  <c r="CT141" i="1"/>
  <c r="CE134" i="1" s="1"/>
  <c r="X41" i="5"/>
  <c r="X24" i="5"/>
  <c r="X40" i="5"/>
  <c r="X37" i="5"/>
  <c r="X22" i="5"/>
  <c r="T30" i="5"/>
  <c r="P40" i="5"/>
  <c r="X46" i="5"/>
  <c r="P42" i="5"/>
  <c r="T22" i="5"/>
  <c r="T47" i="5"/>
  <c r="P25" i="5"/>
  <c r="X21" i="5"/>
  <c r="CS141" i="1"/>
  <c r="T39" i="5"/>
  <c r="Y39" i="5" s="1"/>
  <c r="X39" i="5"/>
  <c r="T21" i="5"/>
  <c r="Y21" i="5" s="1"/>
  <c r="H36" i="5"/>
  <c r="H47" i="5"/>
  <c r="H43" i="5"/>
  <c r="L35" i="5"/>
  <c r="L47" i="5"/>
  <c r="L38" i="5"/>
  <c r="H40" i="5"/>
  <c r="H42" i="5"/>
  <c r="Y42" i="5" s="1"/>
  <c r="L31" i="5"/>
  <c r="L22" i="5"/>
  <c r="L25" i="5"/>
  <c r="H24" i="5"/>
  <c r="H21" i="5"/>
  <c r="P36" i="9"/>
  <c r="P36" i="10"/>
  <c r="P30" i="9"/>
  <c r="P30" i="10"/>
  <c r="P39" i="9"/>
  <c r="P39" i="10"/>
  <c r="BL45" i="9"/>
  <c r="BL45" i="10"/>
  <c r="CA134" i="1"/>
  <c r="L42" i="5"/>
  <c r="BY135" i="1"/>
  <c r="CC135" i="1"/>
  <c r="X29" i="5"/>
  <c r="T44" i="5"/>
  <c r="L26" i="5"/>
  <c r="CR128" i="1"/>
  <c r="H33" i="5"/>
  <c r="L30" i="5"/>
  <c r="Y30" i="5" s="1"/>
  <c r="P47" i="5"/>
  <c r="Y47" i="5" s="1"/>
  <c r="P31" i="5"/>
  <c r="P34" i="5"/>
  <c r="X36" i="5"/>
  <c r="L43" i="5"/>
  <c r="T38" i="5"/>
  <c r="P22" i="5"/>
  <c r="P32" i="5"/>
  <c r="Y32" i="5" s="1"/>
  <c r="P46" i="5"/>
  <c r="Y46" i="5" s="1"/>
  <c r="P29" i="5"/>
  <c r="X27" i="5"/>
  <c r="T25" i="5"/>
  <c r="T41" i="5"/>
  <c r="T24" i="5"/>
  <c r="Y24" i="5" s="1"/>
  <c r="H27" i="5"/>
  <c r="P23" i="5"/>
  <c r="Y23" i="5" s="1"/>
  <c r="T37" i="5"/>
  <c r="P38" i="5"/>
  <c r="CE135" i="1"/>
  <c r="BV135" i="1"/>
  <c r="X43" i="5"/>
  <c r="X47" i="5"/>
  <c r="BV134" i="1"/>
  <c r="CD135" i="1"/>
  <c r="BX134" i="1"/>
  <c r="H22" i="5"/>
  <c r="L33" i="5"/>
  <c r="T28" i="5"/>
  <c r="X30" i="5"/>
  <c r="K34" i="5"/>
  <c r="L34" i="5" s="1"/>
  <c r="X25" i="5"/>
  <c r="P37" i="5"/>
  <c r="H35" i="5"/>
  <c r="CP128" i="1"/>
  <c r="P35" i="5"/>
  <c r="L36" i="5"/>
  <c r="P39" i="5"/>
  <c r="H41" i="5"/>
  <c r="T45" i="5"/>
  <c r="S34" i="5"/>
  <c r="T34" i="5" s="1"/>
  <c r="L37" i="5"/>
  <c r="P43" i="5"/>
  <c r="Y43" i="5" s="1"/>
  <c r="L44" i="5"/>
  <c r="H45" i="5"/>
  <c r="P30" i="5"/>
  <c r="CC134" i="1"/>
  <c r="T36" i="5"/>
  <c r="CA135" i="1"/>
  <c r="P44" i="5"/>
  <c r="H46" i="5"/>
  <c r="P28" i="5"/>
  <c r="H37" i="5"/>
  <c r="H44" i="5"/>
  <c r="P48" i="5"/>
  <c r="X34" i="5"/>
  <c r="H29" i="5"/>
  <c r="Y29" i="5" s="1"/>
  <c r="P36" i="5"/>
  <c r="X42" i="5"/>
  <c r="X48" i="5"/>
  <c r="X33" i="5"/>
  <c r="Y33" i="5" s="1"/>
  <c r="CG141" i="1"/>
  <c r="BZ134" i="1" s="1"/>
  <c r="CG128" i="1"/>
  <c r="CO128" i="1"/>
  <c r="CH128" i="1"/>
  <c r="BW128" i="1"/>
  <c r="CE128" i="1"/>
  <c r="CK128" i="1"/>
  <c r="BY128" i="1"/>
  <c r="BZ128" i="1"/>
  <c r="CC128" i="1"/>
  <c r="CL141" i="1"/>
  <c r="BY134" i="1" s="1"/>
  <c r="CL128" i="1"/>
  <c r="CB128" i="1"/>
  <c r="CN128" i="1"/>
  <c r="CI128" i="1"/>
  <c r="BV128" i="1"/>
  <c r="CA128" i="1"/>
  <c r="CD128" i="1"/>
  <c r="CJ128" i="1"/>
  <c r="G34" i="5"/>
  <c r="H34" i="5" s="1"/>
  <c r="CM128" i="1"/>
  <c r="BX128" i="1"/>
  <c r="Y27" i="5"/>
  <c r="H26" i="5"/>
  <c r="H28" i="5"/>
  <c r="H31" i="5"/>
  <c r="Y31" i="5" s="1"/>
  <c r="H48" i="5"/>
  <c r="BQ154" i="1"/>
  <c r="B123" i="1"/>
  <c r="D122" i="1"/>
  <c r="B156" i="1"/>
  <c r="D155" i="1"/>
  <c r="BW135" i="1"/>
  <c r="BZ135" i="1"/>
  <c r="BX135" i="1"/>
  <c r="T35" i="5"/>
  <c r="D146" i="1"/>
  <c r="B147" i="1"/>
  <c r="B116" i="1"/>
  <c r="BQ147" i="1"/>
  <c r="D115" i="1"/>
  <c r="Y22" i="5"/>
  <c r="B38" i="5"/>
  <c r="D37" i="5"/>
  <c r="Y25" i="5"/>
  <c r="B25" i="5"/>
  <c r="D24" i="5"/>
  <c r="Y40" i="5"/>
  <c r="Y38" i="5"/>
  <c r="CD134" i="1" l="1"/>
  <c r="CB134" i="1"/>
  <c r="Y26" i="5"/>
  <c r="Y41" i="5"/>
  <c r="Y44" i="5"/>
  <c r="Y45" i="5"/>
  <c r="Y36" i="5"/>
  <c r="AK17" i="5" s="1"/>
  <c r="BD47" i="5" s="1"/>
  <c r="Y35" i="5"/>
  <c r="Y37" i="5"/>
  <c r="P33" i="9"/>
  <c r="P33" i="10"/>
  <c r="BL42" i="9"/>
  <c r="BL42" i="10"/>
  <c r="AQ17" i="9"/>
  <c r="AQ17" i="10"/>
  <c r="AY68" i="9"/>
  <c r="AY68" i="10"/>
  <c r="BL36" i="9"/>
  <c r="BL36" i="10"/>
  <c r="BC68" i="9"/>
  <c r="BC68" i="10"/>
  <c r="P27" i="9"/>
  <c r="P27" i="10"/>
  <c r="AW68" i="9"/>
  <c r="AW68" i="10"/>
  <c r="W68" i="9"/>
  <c r="W68" i="10"/>
  <c r="AC68" i="9"/>
  <c r="AC68" i="10"/>
  <c r="AA68" i="9"/>
  <c r="AA68" i="10"/>
  <c r="Y68" i="9"/>
  <c r="Y68" i="10"/>
  <c r="BL33" i="9"/>
  <c r="BL33" i="10"/>
  <c r="BL39" i="9"/>
  <c r="BL39" i="10"/>
  <c r="AU68" i="9"/>
  <c r="AU68" i="10"/>
  <c r="U68" i="9"/>
  <c r="U68" i="10"/>
  <c r="AU17" i="9"/>
  <c r="AU17" i="10"/>
  <c r="AO17" i="9"/>
  <c r="AO17" i="10"/>
  <c r="AS17" i="9"/>
  <c r="AS17" i="10"/>
  <c r="BA68" i="9"/>
  <c r="BA68" i="10"/>
  <c r="AM17" i="9"/>
  <c r="AM17" i="10"/>
  <c r="CD131" i="1"/>
  <c r="Y28" i="5"/>
  <c r="AI17" i="5" s="1"/>
  <c r="BD33" i="5" s="1"/>
  <c r="Y48" i="5"/>
  <c r="BW134" i="1"/>
  <c r="Y34" i="5"/>
  <c r="CE131" i="1"/>
  <c r="BW131" i="1"/>
  <c r="CC131" i="1"/>
  <c r="BZ131" i="1"/>
  <c r="CA131" i="1"/>
  <c r="CB131" i="1"/>
  <c r="BX131" i="1"/>
  <c r="BY131" i="1"/>
  <c r="BV131" i="1"/>
  <c r="B157" i="1"/>
  <c r="D156" i="1"/>
  <c r="BQ155" i="1"/>
  <c r="B124" i="1"/>
  <c r="D123" i="1"/>
  <c r="B117" i="1"/>
  <c r="D116" i="1"/>
  <c r="BQ148" i="1"/>
  <c r="D147" i="1"/>
  <c r="B148" i="1"/>
  <c r="B39" i="5"/>
  <c r="D38" i="5"/>
  <c r="B26" i="5"/>
  <c r="D25" i="5"/>
  <c r="S68" i="9" l="1"/>
  <c r="S69" i="9" s="1"/>
  <c r="S68" i="10"/>
  <c r="S69" i="10" s="1"/>
  <c r="BI68" i="9"/>
  <c r="BI69" i="9" s="1"/>
  <c r="BI68" i="10"/>
  <c r="BI69" i="10" s="1"/>
  <c r="P48" i="9"/>
  <c r="P49" i="9" s="1"/>
  <c r="P48" i="10"/>
  <c r="P49" i="10" s="1"/>
  <c r="AS68" i="9"/>
  <c r="AS69" i="9" s="1"/>
  <c r="AS68" i="10"/>
  <c r="AS69" i="10" s="1"/>
  <c r="BL24" i="9"/>
  <c r="BL25" i="9" s="1"/>
  <c r="BL24" i="10"/>
  <c r="BL25" i="10" s="1"/>
  <c r="AI68" i="9"/>
  <c r="AI69" i="9" s="1"/>
  <c r="AI68" i="10"/>
  <c r="AI69" i="10" s="1"/>
  <c r="AW17" i="9"/>
  <c r="AW18" i="9" s="1"/>
  <c r="AW17" i="10"/>
  <c r="AW18" i="10" s="1"/>
  <c r="BL48" i="9"/>
  <c r="BL34" i="9" s="1"/>
  <c r="BL48" i="10"/>
  <c r="BL40" i="10" s="1"/>
  <c r="P24" i="9"/>
  <c r="P24" i="10"/>
  <c r="P40" i="10" s="1"/>
  <c r="AE17" i="9"/>
  <c r="AE18" i="9" s="1"/>
  <c r="AE17" i="10"/>
  <c r="AE18" i="10" s="1"/>
  <c r="AJ33" i="5"/>
  <c r="AL33" i="5"/>
  <c r="AN33" i="5"/>
  <c r="AP33" i="5"/>
  <c r="AR33" i="5"/>
  <c r="AT33" i="5"/>
  <c r="AV33" i="5"/>
  <c r="AX33" i="5"/>
  <c r="AZ33" i="5"/>
  <c r="BB33" i="5"/>
  <c r="AI33" i="5"/>
  <c r="AK33" i="5"/>
  <c r="AM33" i="5"/>
  <c r="AO33" i="5"/>
  <c r="AQ33" i="5"/>
  <c r="AS33" i="5"/>
  <c r="AU33" i="5"/>
  <c r="AW33" i="5"/>
  <c r="AY33" i="5"/>
  <c r="BA33" i="5"/>
  <c r="AJ47" i="5"/>
  <c r="AL47" i="5"/>
  <c r="AN47" i="5"/>
  <c r="AP47" i="5"/>
  <c r="AR47" i="5"/>
  <c r="AT47" i="5"/>
  <c r="AI47" i="5"/>
  <c r="AK47" i="5"/>
  <c r="AM47" i="5"/>
  <c r="AO47" i="5"/>
  <c r="AQ47" i="5"/>
  <c r="AS47" i="5"/>
  <c r="AV47" i="5"/>
  <c r="AX47" i="5"/>
  <c r="AZ47" i="5"/>
  <c r="BB47" i="5"/>
  <c r="AU47" i="5"/>
  <c r="AW47" i="5"/>
  <c r="AY47" i="5"/>
  <c r="BA47" i="5"/>
  <c r="AH33" i="5"/>
  <c r="B158" i="1"/>
  <c r="D157" i="1"/>
  <c r="BQ156" i="1"/>
  <c r="B125" i="1"/>
  <c r="D124" i="1"/>
  <c r="BD32" i="5"/>
  <c r="B149" i="1"/>
  <c r="D148" i="1"/>
  <c r="B118" i="1"/>
  <c r="D117" i="1"/>
  <c r="BQ149" i="1"/>
  <c r="B40" i="5"/>
  <c r="D39" i="5"/>
  <c r="BD46" i="5"/>
  <c r="AH47" i="5"/>
  <c r="B27" i="5"/>
  <c r="D26" i="5"/>
  <c r="P34" i="9" l="1"/>
  <c r="P40" i="9"/>
  <c r="BC69" i="10"/>
  <c r="BL43" i="10"/>
  <c r="P28" i="9"/>
  <c r="AS18" i="9"/>
  <c r="BL37" i="10"/>
  <c r="W69" i="9"/>
  <c r="U69" i="9"/>
  <c r="AO18" i="9"/>
  <c r="AU18" i="9"/>
  <c r="AC69" i="9"/>
  <c r="P25" i="10"/>
  <c r="P37" i="10"/>
  <c r="P31" i="10"/>
  <c r="P25" i="9"/>
  <c r="P37" i="9"/>
  <c r="P31" i="9"/>
  <c r="BL43" i="9"/>
  <c r="AU18" i="10"/>
  <c r="BL49" i="10"/>
  <c r="BL46" i="10"/>
  <c r="AO18" i="10"/>
  <c r="AQ18" i="10"/>
  <c r="BL49" i="9"/>
  <c r="BL46" i="9"/>
  <c r="BL34" i="10"/>
  <c r="P28" i="10"/>
  <c r="AM18" i="9"/>
  <c r="AU69" i="10"/>
  <c r="BL40" i="9"/>
  <c r="AS18" i="10"/>
  <c r="P34" i="10"/>
  <c r="Y69" i="9"/>
  <c r="AQ18" i="9"/>
  <c r="BL37" i="9"/>
  <c r="AM18" i="10"/>
  <c r="AC69" i="10"/>
  <c r="AU69" i="9"/>
  <c r="BA69" i="10"/>
  <c r="AW69" i="10"/>
  <c r="BC69" i="9"/>
  <c r="AA69" i="9"/>
  <c r="AW69" i="9"/>
  <c r="AA69" i="10"/>
  <c r="AY69" i="10"/>
  <c r="BA69" i="9"/>
  <c r="AY69" i="9"/>
  <c r="W69" i="10"/>
  <c r="Y69" i="10"/>
  <c r="U69" i="10"/>
  <c r="AJ46" i="5"/>
  <c r="AL46" i="5"/>
  <c r="AN46" i="5"/>
  <c r="AP46" i="5"/>
  <c r="AR46" i="5"/>
  <c r="AT46" i="5"/>
  <c r="AV46" i="5"/>
  <c r="AX46" i="5"/>
  <c r="AZ46" i="5"/>
  <c r="BB46" i="5"/>
  <c r="AI46" i="5"/>
  <c r="AK46" i="5"/>
  <c r="AM46" i="5"/>
  <c r="AO46" i="5"/>
  <c r="AQ46" i="5"/>
  <c r="AS46" i="5"/>
  <c r="AU46" i="5"/>
  <c r="AW46" i="5"/>
  <c r="AY46" i="5"/>
  <c r="BA46" i="5"/>
  <c r="BD31" i="5"/>
  <c r="AH31" i="5" s="1"/>
  <c r="AJ32" i="5"/>
  <c r="AL32" i="5"/>
  <c r="AN32" i="5"/>
  <c r="AP32" i="5"/>
  <c r="AR32" i="5"/>
  <c r="AT32" i="5"/>
  <c r="AV32" i="5"/>
  <c r="AX32" i="5"/>
  <c r="AZ32" i="5"/>
  <c r="BB32" i="5"/>
  <c r="AI32" i="5"/>
  <c r="AK32" i="5"/>
  <c r="AM32" i="5"/>
  <c r="AO32" i="5"/>
  <c r="AQ32" i="5"/>
  <c r="AS32" i="5"/>
  <c r="AU32" i="5"/>
  <c r="AW32" i="5"/>
  <c r="AY32" i="5"/>
  <c r="BA32" i="5"/>
  <c r="AH32" i="5"/>
  <c r="B159" i="1"/>
  <c r="D158" i="1"/>
  <c r="BQ157" i="1"/>
  <c r="D125" i="1"/>
  <c r="B126" i="1"/>
  <c r="B119" i="1"/>
  <c r="BQ150" i="1"/>
  <c r="D118" i="1"/>
  <c r="D149" i="1"/>
  <c r="B150" i="1"/>
  <c r="D40" i="5"/>
  <c r="B41" i="5"/>
  <c r="B28" i="5"/>
  <c r="D27" i="5"/>
  <c r="AH46" i="5"/>
  <c r="BD45" i="5"/>
  <c r="BD30" i="5" l="1"/>
  <c r="AL30" i="5" s="1"/>
  <c r="BA30" i="5"/>
  <c r="AJ31" i="5"/>
  <c r="AL31" i="5"/>
  <c r="AN31" i="5"/>
  <c r="AP31" i="5"/>
  <c r="AR31" i="5"/>
  <c r="AT31" i="5"/>
  <c r="AV31" i="5"/>
  <c r="AX31" i="5"/>
  <c r="AZ31" i="5"/>
  <c r="BB31" i="5"/>
  <c r="AI31" i="5"/>
  <c r="AK31" i="5"/>
  <c r="AM31" i="5"/>
  <c r="AO31" i="5"/>
  <c r="AQ31" i="5"/>
  <c r="AS31" i="5"/>
  <c r="AU31" i="5"/>
  <c r="AW31" i="5"/>
  <c r="AY31" i="5"/>
  <c r="BA31" i="5"/>
  <c r="AJ45" i="5"/>
  <c r="AL45" i="5"/>
  <c r="AN45" i="5"/>
  <c r="AP45" i="5"/>
  <c r="AR45" i="5"/>
  <c r="AT45" i="5"/>
  <c r="AV45" i="5"/>
  <c r="AX45" i="5"/>
  <c r="AZ45" i="5"/>
  <c r="BB45" i="5"/>
  <c r="AI45" i="5"/>
  <c r="AK45" i="5"/>
  <c r="AM45" i="5"/>
  <c r="AO45" i="5"/>
  <c r="AQ45" i="5"/>
  <c r="AS45" i="5"/>
  <c r="AU45" i="5"/>
  <c r="AW45" i="5"/>
  <c r="AY45" i="5"/>
  <c r="BA45" i="5"/>
  <c r="BQ158" i="1"/>
  <c r="B127" i="1"/>
  <c r="D126" i="1"/>
  <c r="B160" i="1"/>
  <c r="D159" i="1"/>
  <c r="D150" i="1"/>
  <c r="B151" i="1"/>
  <c r="D151" i="1" s="1"/>
  <c r="BQ151" i="1"/>
  <c r="D119" i="1"/>
  <c r="B42" i="5"/>
  <c r="D41" i="5"/>
  <c r="B29" i="5"/>
  <c r="D28" i="5"/>
  <c r="BD44" i="5"/>
  <c r="AH45" i="5"/>
  <c r="BD29" i="5"/>
  <c r="AS30" i="5" l="1"/>
  <c r="AP30" i="5"/>
  <c r="AJ30" i="5"/>
  <c r="AK30" i="5"/>
  <c r="AZ30" i="5"/>
  <c r="AU30" i="5"/>
  <c r="AX30" i="5"/>
  <c r="AH30" i="5"/>
  <c r="AM30" i="5"/>
  <c r="AR30" i="5"/>
  <c r="AY30" i="5"/>
  <c r="AQ30" i="5"/>
  <c r="AI30" i="5"/>
  <c r="AV30" i="5"/>
  <c r="AN30" i="5"/>
  <c r="AW30" i="5"/>
  <c r="AO30" i="5"/>
  <c r="BB30" i="5"/>
  <c r="AT30" i="5"/>
  <c r="AJ29" i="5"/>
  <c r="AL29" i="5"/>
  <c r="AN29" i="5"/>
  <c r="AP29" i="5"/>
  <c r="AR29" i="5"/>
  <c r="AT29" i="5"/>
  <c r="AV29" i="5"/>
  <c r="AX29" i="5"/>
  <c r="AZ29" i="5"/>
  <c r="BB29" i="5"/>
  <c r="AI29" i="5"/>
  <c r="AK29" i="5"/>
  <c r="AM29" i="5"/>
  <c r="AO29" i="5"/>
  <c r="AQ29" i="5"/>
  <c r="AS29" i="5"/>
  <c r="AU29" i="5"/>
  <c r="AW29" i="5"/>
  <c r="AY29" i="5"/>
  <c r="BA29" i="5"/>
  <c r="AJ44" i="5"/>
  <c r="AL44" i="5"/>
  <c r="AN44" i="5"/>
  <c r="AP44" i="5"/>
  <c r="AR44" i="5"/>
  <c r="AT44" i="5"/>
  <c r="AV44" i="5"/>
  <c r="AX44" i="5"/>
  <c r="AZ44" i="5"/>
  <c r="BB44" i="5"/>
  <c r="AI44" i="5"/>
  <c r="AK44" i="5"/>
  <c r="AM44" i="5"/>
  <c r="AO44" i="5"/>
  <c r="AQ44" i="5"/>
  <c r="AS44" i="5"/>
  <c r="AU44" i="5"/>
  <c r="AW44" i="5"/>
  <c r="AY44" i="5"/>
  <c r="BA44" i="5"/>
  <c r="D160" i="1"/>
  <c r="B161" i="1"/>
  <c r="BQ159" i="1"/>
  <c r="B128" i="1"/>
  <c r="D127" i="1"/>
  <c r="B43" i="5"/>
  <c r="D42" i="5"/>
  <c r="AG29" i="5"/>
  <c r="BD28" i="5"/>
  <c r="AH29" i="5"/>
  <c r="BD43" i="5"/>
  <c r="AH44" i="5"/>
  <c r="D29" i="5"/>
  <c r="B30" i="5"/>
  <c r="AJ43" i="5" l="1"/>
  <c r="AL43" i="5"/>
  <c r="AN43" i="5"/>
  <c r="AP43" i="5"/>
  <c r="AR43" i="5"/>
  <c r="AT43" i="5"/>
  <c r="AV43" i="5"/>
  <c r="AX43" i="5"/>
  <c r="AZ43" i="5"/>
  <c r="BB43" i="5"/>
  <c r="AI43" i="5"/>
  <c r="AK43" i="5"/>
  <c r="AM43" i="5"/>
  <c r="AO43" i="5"/>
  <c r="AQ43" i="5"/>
  <c r="AS43" i="5"/>
  <c r="AU43" i="5"/>
  <c r="AW43" i="5"/>
  <c r="AY43" i="5"/>
  <c r="BA43" i="5"/>
  <c r="AJ28" i="5"/>
  <c r="AL28" i="5"/>
  <c r="AN28" i="5"/>
  <c r="AP28" i="5"/>
  <c r="AR28" i="5"/>
  <c r="AT28" i="5"/>
  <c r="AV28" i="5"/>
  <c r="AX28" i="5"/>
  <c r="AZ28" i="5"/>
  <c r="BB28" i="5"/>
  <c r="AI28" i="5"/>
  <c r="AK28" i="5"/>
  <c r="AM28" i="5"/>
  <c r="AO28" i="5"/>
  <c r="AQ28" i="5"/>
  <c r="AS28" i="5"/>
  <c r="AU28" i="5"/>
  <c r="AW28" i="5"/>
  <c r="AY28" i="5"/>
  <c r="BA28" i="5"/>
  <c r="BQ160" i="1"/>
  <c r="B129" i="1"/>
  <c r="D128" i="1"/>
  <c r="D161" i="1"/>
  <c r="B162" i="1"/>
  <c r="B44" i="5"/>
  <c r="D43" i="5"/>
  <c r="B31" i="5"/>
  <c r="D30" i="5"/>
  <c r="AG30" i="5"/>
  <c r="BD42" i="5"/>
  <c r="AG43" i="5"/>
  <c r="AH43" i="5"/>
  <c r="BD27" i="5"/>
  <c r="AG28" i="5"/>
  <c r="AH28" i="5"/>
  <c r="AJ42" i="5" l="1"/>
  <c r="AL42" i="5"/>
  <c r="AN42" i="5"/>
  <c r="AP42" i="5"/>
  <c r="AR42" i="5"/>
  <c r="AT42" i="5"/>
  <c r="AV42" i="5"/>
  <c r="AX42" i="5"/>
  <c r="AZ42" i="5"/>
  <c r="BB42" i="5"/>
  <c r="AI42" i="5"/>
  <c r="AK42" i="5"/>
  <c r="AM42" i="5"/>
  <c r="AO42" i="5"/>
  <c r="AQ42" i="5"/>
  <c r="AS42" i="5"/>
  <c r="AU42" i="5"/>
  <c r="AW42" i="5"/>
  <c r="AY42" i="5"/>
  <c r="BA42" i="5"/>
  <c r="AJ27" i="5"/>
  <c r="AL27" i="5"/>
  <c r="AN27" i="5"/>
  <c r="AP27" i="5"/>
  <c r="AR27" i="5"/>
  <c r="AT27" i="5"/>
  <c r="AV27" i="5"/>
  <c r="AX27" i="5"/>
  <c r="AZ27" i="5"/>
  <c r="BB27" i="5"/>
  <c r="AI27" i="5"/>
  <c r="AK27" i="5"/>
  <c r="AM27" i="5"/>
  <c r="AO27" i="5"/>
  <c r="AQ27" i="5"/>
  <c r="AS27" i="5"/>
  <c r="AU27" i="5"/>
  <c r="AW27" i="5"/>
  <c r="AY27" i="5"/>
  <c r="BA27" i="5"/>
  <c r="D162" i="1"/>
  <c r="B163" i="1"/>
  <c r="B130" i="1"/>
  <c r="D129" i="1"/>
  <c r="BQ161" i="1"/>
  <c r="D44" i="5"/>
  <c r="AG44" i="5"/>
  <c r="B45" i="5"/>
  <c r="BD26" i="5"/>
  <c r="AG27" i="5"/>
  <c r="AH27" i="5"/>
  <c r="AG42" i="5"/>
  <c r="AH42" i="5"/>
  <c r="BD41" i="5"/>
  <c r="D31" i="5"/>
  <c r="B32" i="5"/>
  <c r="AG31" i="5"/>
  <c r="AJ26" i="5" l="1"/>
  <c r="AL26" i="5"/>
  <c r="AN26" i="5"/>
  <c r="AP26" i="5"/>
  <c r="AR26" i="5"/>
  <c r="AT26" i="5"/>
  <c r="AV26" i="5"/>
  <c r="AX26" i="5"/>
  <c r="AZ26" i="5"/>
  <c r="BB26" i="5"/>
  <c r="AI26" i="5"/>
  <c r="AK26" i="5"/>
  <c r="AM26" i="5"/>
  <c r="AO26" i="5"/>
  <c r="AQ26" i="5"/>
  <c r="AS26" i="5"/>
  <c r="AU26" i="5"/>
  <c r="AW26" i="5"/>
  <c r="AY26" i="5"/>
  <c r="BA26" i="5"/>
  <c r="AJ41" i="5"/>
  <c r="AL41" i="5"/>
  <c r="AN41" i="5"/>
  <c r="AP41" i="5"/>
  <c r="AR41" i="5"/>
  <c r="AT41" i="5"/>
  <c r="AV41" i="5"/>
  <c r="AX41" i="5"/>
  <c r="AZ41" i="5"/>
  <c r="BB41" i="5"/>
  <c r="AI41" i="5"/>
  <c r="AK41" i="5"/>
  <c r="AM41" i="5"/>
  <c r="AO41" i="5"/>
  <c r="AQ41" i="5"/>
  <c r="AS41" i="5"/>
  <c r="AU41" i="5"/>
  <c r="AW41" i="5"/>
  <c r="AY41" i="5"/>
  <c r="BA41" i="5"/>
  <c r="BQ162" i="1"/>
  <c r="D130" i="1"/>
  <c r="B131" i="1"/>
  <c r="B164" i="1"/>
  <c r="D163" i="1"/>
  <c r="B46" i="5"/>
  <c r="D45" i="5"/>
  <c r="AG45" i="5"/>
  <c r="BD25" i="5"/>
  <c r="AG26" i="5"/>
  <c r="AH26" i="5"/>
  <c r="B33" i="5"/>
  <c r="D32" i="5"/>
  <c r="AG32" i="5"/>
  <c r="BD40" i="5"/>
  <c r="AG41" i="5"/>
  <c r="AH41" i="5"/>
  <c r="AJ40" i="5" l="1"/>
  <c r="AL40" i="5"/>
  <c r="AN40" i="5"/>
  <c r="AP40" i="5"/>
  <c r="AR40" i="5"/>
  <c r="AT40" i="5"/>
  <c r="AV40" i="5"/>
  <c r="AX40" i="5"/>
  <c r="AZ40" i="5"/>
  <c r="BB40" i="5"/>
  <c r="AI40" i="5"/>
  <c r="AK40" i="5"/>
  <c r="AM40" i="5"/>
  <c r="AO40" i="5"/>
  <c r="AQ40" i="5"/>
  <c r="AS40" i="5"/>
  <c r="AU40" i="5"/>
  <c r="AW40" i="5"/>
  <c r="AY40" i="5"/>
  <c r="BA40" i="5"/>
  <c r="AJ25" i="5"/>
  <c r="AL25" i="5"/>
  <c r="AN25" i="5"/>
  <c r="AP25" i="5"/>
  <c r="AR25" i="5"/>
  <c r="AT25" i="5"/>
  <c r="AV25" i="5"/>
  <c r="AX25" i="5"/>
  <c r="AZ25" i="5"/>
  <c r="BB25" i="5"/>
  <c r="AI25" i="5"/>
  <c r="AK25" i="5"/>
  <c r="AM25" i="5"/>
  <c r="AO25" i="5"/>
  <c r="AQ25" i="5"/>
  <c r="AS25" i="5"/>
  <c r="AU25" i="5"/>
  <c r="AW25" i="5"/>
  <c r="AY25" i="5"/>
  <c r="BA25" i="5"/>
  <c r="BQ163" i="1"/>
  <c r="B132" i="1"/>
  <c r="D131" i="1"/>
  <c r="B165" i="1"/>
  <c r="D165" i="1" s="1"/>
  <c r="D164" i="1"/>
  <c r="D46" i="5"/>
  <c r="B47" i="5"/>
  <c r="AG46" i="5"/>
  <c r="D33" i="5"/>
  <c r="AG33" i="5"/>
  <c r="BD24" i="5"/>
  <c r="AG25" i="5"/>
  <c r="AH25" i="5"/>
  <c r="AG40" i="5"/>
  <c r="BD39" i="5"/>
  <c r="AH40" i="5"/>
  <c r="AJ39" i="5" l="1"/>
  <c r="AL39" i="5"/>
  <c r="AN39" i="5"/>
  <c r="AP39" i="5"/>
  <c r="AR39" i="5"/>
  <c r="AT39" i="5"/>
  <c r="AV39" i="5"/>
  <c r="AX39" i="5"/>
  <c r="AZ39" i="5"/>
  <c r="BB39" i="5"/>
  <c r="AI39" i="5"/>
  <c r="AK39" i="5"/>
  <c r="AM39" i="5"/>
  <c r="AO39" i="5"/>
  <c r="AQ39" i="5"/>
  <c r="AS39" i="5"/>
  <c r="AU39" i="5"/>
  <c r="AW39" i="5"/>
  <c r="AY39" i="5"/>
  <c r="BA39" i="5"/>
  <c r="AJ24" i="5"/>
  <c r="AL24" i="5"/>
  <c r="AN24" i="5"/>
  <c r="AP24" i="5"/>
  <c r="AR24" i="5"/>
  <c r="AT24" i="5"/>
  <c r="AV24" i="5"/>
  <c r="AX24" i="5"/>
  <c r="AZ24" i="5"/>
  <c r="BB24" i="5"/>
  <c r="AI24" i="5"/>
  <c r="AK24" i="5"/>
  <c r="AM24" i="5"/>
  <c r="AO24" i="5"/>
  <c r="AQ24" i="5"/>
  <c r="AS24" i="5"/>
  <c r="AU24" i="5"/>
  <c r="AW24" i="5"/>
  <c r="AY24" i="5"/>
  <c r="BA24" i="5"/>
  <c r="B133" i="1"/>
  <c r="D132" i="1"/>
  <c r="BQ164" i="1"/>
  <c r="D47" i="5"/>
  <c r="AG47" i="5"/>
  <c r="BD23" i="5"/>
  <c r="AG24" i="5"/>
  <c r="AH24" i="5"/>
  <c r="BD38" i="5"/>
  <c r="AG39" i="5"/>
  <c r="AH39" i="5"/>
  <c r="AJ38" i="5" l="1"/>
  <c r="AL38" i="5"/>
  <c r="AN38" i="5"/>
  <c r="AP38" i="5"/>
  <c r="AR38" i="5"/>
  <c r="AT38" i="5"/>
  <c r="AV38" i="5"/>
  <c r="AX38" i="5"/>
  <c r="AZ38" i="5"/>
  <c r="BB38" i="5"/>
  <c r="AI38" i="5"/>
  <c r="AK38" i="5"/>
  <c r="AM38" i="5"/>
  <c r="AO38" i="5"/>
  <c r="AQ38" i="5"/>
  <c r="AS38" i="5"/>
  <c r="AU38" i="5"/>
  <c r="AW38" i="5"/>
  <c r="AY38" i="5"/>
  <c r="BA38" i="5"/>
  <c r="AJ23" i="5"/>
  <c r="AL23" i="5"/>
  <c r="AN23" i="5"/>
  <c r="AP23" i="5"/>
  <c r="AR23" i="5"/>
  <c r="AT23" i="5"/>
  <c r="AV23" i="5"/>
  <c r="AX23" i="5"/>
  <c r="AZ23" i="5"/>
  <c r="BB23" i="5"/>
  <c r="AI23" i="5"/>
  <c r="AK23" i="5"/>
  <c r="AM23" i="5"/>
  <c r="AO23" i="5"/>
  <c r="AQ23" i="5"/>
  <c r="AS23" i="5"/>
  <c r="AU23" i="5"/>
  <c r="AW23" i="5"/>
  <c r="AY23" i="5"/>
  <c r="BA23" i="5"/>
  <c r="D133" i="1"/>
  <c r="BQ165" i="1"/>
  <c r="AG38" i="5"/>
  <c r="BD37" i="5"/>
  <c r="AH38" i="5"/>
  <c r="BD22" i="5"/>
  <c r="AG23" i="5"/>
  <c r="AH23" i="5"/>
  <c r="AJ22" i="5" l="1"/>
  <c r="AL22" i="5"/>
  <c r="AN22" i="5"/>
  <c r="AP22" i="5"/>
  <c r="AR22" i="5"/>
  <c r="AT22" i="5"/>
  <c r="AV22" i="5"/>
  <c r="AX22" i="5"/>
  <c r="AZ22" i="5"/>
  <c r="BB22" i="5"/>
  <c r="AI22" i="5"/>
  <c r="AK22" i="5"/>
  <c r="AM22" i="5"/>
  <c r="AO22" i="5"/>
  <c r="AQ22" i="5"/>
  <c r="AS22" i="5"/>
  <c r="AU22" i="5"/>
  <c r="AW22" i="5"/>
  <c r="AY22" i="5"/>
  <c r="BA22" i="5"/>
  <c r="AJ37" i="5"/>
  <c r="AL37" i="5"/>
  <c r="AN37" i="5"/>
  <c r="AP37" i="5"/>
  <c r="AR37" i="5"/>
  <c r="AT37" i="5"/>
  <c r="AV37" i="5"/>
  <c r="AX37" i="5"/>
  <c r="AZ37" i="5"/>
  <c r="BB37" i="5"/>
  <c r="AI37" i="5"/>
  <c r="AK37" i="5"/>
  <c r="AM37" i="5"/>
  <c r="AO37" i="5"/>
  <c r="AQ37" i="5"/>
  <c r="AS37" i="5"/>
  <c r="AU37" i="5"/>
  <c r="AW37" i="5"/>
  <c r="AY37" i="5"/>
  <c r="BA37" i="5"/>
  <c r="BD21" i="5"/>
  <c r="AG22" i="5"/>
  <c r="AH22" i="5"/>
  <c r="BD36" i="5"/>
  <c r="AG37" i="5"/>
  <c r="AH37" i="5"/>
  <c r="AJ21" i="5" l="1"/>
  <c r="AL21" i="5"/>
  <c r="AN21" i="5"/>
  <c r="AP21" i="5"/>
  <c r="AR21" i="5"/>
  <c r="AT21" i="5"/>
  <c r="AV21" i="5"/>
  <c r="AX21" i="5"/>
  <c r="AZ21" i="5"/>
  <c r="BB21" i="5"/>
  <c r="AI21" i="5"/>
  <c r="AK21" i="5"/>
  <c r="AM21" i="5"/>
  <c r="AO21" i="5"/>
  <c r="AQ21" i="5"/>
  <c r="AS21" i="5"/>
  <c r="AU21" i="5"/>
  <c r="AW21" i="5"/>
  <c r="AY21" i="5"/>
  <c r="BA21" i="5"/>
  <c r="AJ36" i="5"/>
  <c r="AL36" i="5"/>
  <c r="AN36" i="5"/>
  <c r="AP36" i="5"/>
  <c r="AR36" i="5"/>
  <c r="AT36" i="5"/>
  <c r="AV36" i="5"/>
  <c r="AX36" i="5"/>
  <c r="AZ36" i="5"/>
  <c r="BB36" i="5"/>
  <c r="AI36" i="5"/>
  <c r="AK36" i="5"/>
  <c r="AM36" i="5"/>
  <c r="AO36" i="5"/>
  <c r="AQ36" i="5"/>
  <c r="AS36" i="5"/>
  <c r="AU36" i="5"/>
  <c r="AW36" i="5"/>
  <c r="AY36" i="5"/>
  <c r="BA36" i="5"/>
  <c r="BD35" i="5"/>
  <c r="AG36" i="5"/>
  <c r="AH36" i="5"/>
  <c r="AG21" i="5"/>
  <c r="AG18" i="5" s="1"/>
  <c r="AH21" i="5"/>
  <c r="AJ35" i="5" l="1"/>
  <c r="AL35" i="5"/>
  <c r="AN35" i="5"/>
  <c r="AP35" i="5"/>
  <c r="AR35" i="5"/>
  <c r="AT35" i="5"/>
  <c r="AV35" i="5"/>
  <c r="AX35" i="5"/>
  <c r="AZ35" i="5"/>
  <c r="BB35" i="5"/>
  <c r="AI35" i="5"/>
  <c r="AK35" i="5"/>
  <c r="AM35" i="5"/>
  <c r="AO35" i="5"/>
  <c r="AQ35" i="5"/>
  <c r="AS35" i="5"/>
  <c r="AU35" i="5"/>
  <c r="AW35" i="5"/>
  <c r="AY35" i="5"/>
  <c r="BA35" i="5"/>
  <c r="BA18" i="5"/>
  <c r="X16" i="5" s="1"/>
  <c r="AY18" i="5"/>
  <c r="V16" i="5" s="1"/>
  <c r="AW18" i="5"/>
  <c r="T16" i="5" s="1"/>
  <c r="AU18" i="5"/>
  <c r="R16" i="5" s="1"/>
  <c r="AS18" i="5"/>
  <c r="P16" i="5" s="1"/>
  <c r="AQ18" i="5"/>
  <c r="N16" i="5" s="1"/>
  <c r="AO18" i="5"/>
  <c r="L16" i="5" s="1"/>
  <c r="AM18" i="5"/>
  <c r="J16" i="5" s="1"/>
  <c r="AK18" i="5"/>
  <c r="H16" i="5" s="1"/>
  <c r="AI18" i="5"/>
  <c r="F16" i="5" s="1"/>
  <c r="BB18" i="5"/>
  <c r="Y16" i="5" s="1"/>
  <c r="AZ18" i="5"/>
  <c r="W16" i="5" s="1"/>
  <c r="AX18" i="5"/>
  <c r="U16" i="5" s="1"/>
  <c r="AV18" i="5"/>
  <c r="S16" i="5" s="1"/>
  <c r="AT18" i="5"/>
  <c r="Q16" i="5" s="1"/>
  <c r="AR18" i="5"/>
  <c r="O16" i="5" s="1"/>
  <c r="AP18" i="5"/>
  <c r="M16" i="5" s="1"/>
  <c r="AN18" i="5"/>
  <c r="K16" i="5" s="1"/>
  <c r="AL18" i="5"/>
  <c r="I16" i="5" s="1"/>
  <c r="AJ18" i="5"/>
  <c r="G16" i="5" s="1"/>
  <c r="BU139" i="1"/>
  <c r="AH18" i="5"/>
  <c r="E16" i="5" s="1"/>
  <c r="B16" i="5"/>
  <c r="AG35" i="5"/>
  <c r="AG19" i="5" s="1"/>
  <c r="AH35" i="5"/>
  <c r="AN40" i="9" l="1"/>
  <c r="AS40" i="9" s="1"/>
  <c r="AN40" i="10"/>
  <c r="AS40" i="10" s="1"/>
  <c r="BA19" i="5"/>
  <c r="X17" i="5" s="1"/>
  <c r="AY19" i="5"/>
  <c r="V17" i="5" s="1"/>
  <c r="AW19" i="5"/>
  <c r="T17" i="5" s="1"/>
  <c r="AU19" i="5"/>
  <c r="R17" i="5" s="1"/>
  <c r="AS19" i="5"/>
  <c r="P17" i="5" s="1"/>
  <c r="AQ19" i="5"/>
  <c r="N17" i="5" s="1"/>
  <c r="AO19" i="5"/>
  <c r="L17" i="5" s="1"/>
  <c r="AM19" i="5"/>
  <c r="J17" i="5" s="1"/>
  <c r="AK19" i="5"/>
  <c r="H17" i="5" s="1"/>
  <c r="AI19" i="5"/>
  <c r="F17" i="5" s="1"/>
  <c r="BB19" i="5"/>
  <c r="Y17" i="5" s="1"/>
  <c r="AZ19" i="5"/>
  <c r="W17" i="5" s="1"/>
  <c r="AX19" i="5"/>
  <c r="U17" i="5" s="1"/>
  <c r="AV19" i="5"/>
  <c r="S17" i="5" s="1"/>
  <c r="AT19" i="5"/>
  <c r="Q17" i="5" s="1"/>
  <c r="AR19" i="5"/>
  <c r="O17" i="5" s="1"/>
  <c r="AP19" i="5"/>
  <c r="M17" i="5" s="1"/>
  <c r="AN19" i="5"/>
  <c r="K17" i="5" s="1"/>
  <c r="AL19" i="5"/>
  <c r="I17" i="5" s="1"/>
  <c r="AJ19" i="5"/>
  <c r="G17" i="5" s="1"/>
  <c r="BU140" i="1"/>
  <c r="AH19" i="5"/>
  <c r="E17" i="5" s="1"/>
  <c r="B17" i="5"/>
  <c r="CT139" i="1"/>
  <c r="S42" i="10" s="1"/>
  <c r="S43" i="10" s="1"/>
  <c r="CE139" i="1"/>
  <c r="BA61" i="10" s="1"/>
  <c r="BV139" i="1"/>
  <c r="W61" i="10" s="1"/>
  <c r="CB139" i="1"/>
  <c r="AU61" i="10" s="1"/>
  <c r="CH139" i="1"/>
  <c r="BG42" i="10" s="1"/>
  <c r="CN139" i="1"/>
  <c r="AO21" i="10" s="1"/>
  <c r="CP139" i="1"/>
  <c r="S30" i="10" s="1"/>
  <c r="CQ139" i="1"/>
  <c r="S33" i="10" s="1"/>
  <c r="CR139" i="1"/>
  <c r="S36" i="10" s="1"/>
  <c r="CS139" i="1"/>
  <c r="S39" i="10" s="1"/>
  <c r="BW139" i="1"/>
  <c r="Y61" i="10" s="1"/>
  <c r="CC139" i="1"/>
  <c r="AW61" i="10" s="1"/>
  <c r="CI139" i="1"/>
  <c r="BG39" i="10" s="1"/>
  <c r="CK139" i="1"/>
  <c r="AU21" i="10" s="1"/>
  <c r="CL139" i="1"/>
  <c r="AS21" i="10" s="1"/>
  <c r="CM139" i="1"/>
  <c r="AQ21" i="10" s="1"/>
  <c r="BX139" i="1"/>
  <c r="AA61" i="10" s="1"/>
  <c r="CD139" i="1"/>
  <c r="AY61" i="10" s="1"/>
  <c r="CF139" i="1"/>
  <c r="BG48" i="10" s="1"/>
  <c r="CG139" i="1"/>
  <c r="BG45" i="10" s="1"/>
  <c r="BY139" i="1"/>
  <c r="AC61" i="10" s="1"/>
  <c r="CA139" i="1"/>
  <c r="AS61" i="10" s="1"/>
  <c r="BZ139" i="1"/>
  <c r="AE61" i="10" s="1"/>
  <c r="CO139" i="1"/>
  <c r="AM21" i="10" s="1"/>
  <c r="CJ139" i="1"/>
  <c r="BG36" i="10" s="1"/>
  <c r="DC139" i="1"/>
  <c r="DA139" i="1"/>
  <c r="CY139" i="1"/>
  <c r="CW139" i="1"/>
  <c r="CV139" i="1"/>
  <c r="DD139" i="1"/>
  <c r="DB139" i="1"/>
  <c r="CZ139" i="1"/>
  <c r="CX139" i="1"/>
  <c r="CU139" i="1"/>
  <c r="D16" i="5"/>
  <c r="AM22" i="10" l="1"/>
  <c r="AS22" i="10"/>
  <c r="S37" i="10"/>
  <c r="S34" i="10"/>
  <c r="AE62" i="10"/>
  <c r="AN42" i="9"/>
  <c r="AS42" i="9" s="1"/>
  <c r="AN42" i="10"/>
  <c r="AS42" i="10" s="1"/>
  <c r="BW132" i="1"/>
  <c r="AK61" i="10" s="1"/>
  <c r="AK62" i="10" s="1"/>
  <c r="BY132" i="1"/>
  <c r="BG61" i="10" s="1"/>
  <c r="BG62" i="10" s="1"/>
  <c r="BZ132" i="1"/>
  <c r="BG51" i="10" s="1"/>
  <c r="BG52" i="10" s="1"/>
  <c r="CA132" i="1"/>
  <c r="BG27" i="10" s="1"/>
  <c r="BG28" i="10" s="1"/>
  <c r="CC132" i="1"/>
  <c r="AE21" i="10" s="1"/>
  <c r="AE22" i="10" s="1"/>
  <c r="CD132" i="1"/>
  <c r="S27" i="10" s="1"/>
  <c r="S28" i="10" s="1"/>
  <c r="CE132" i="1"/>
  <c r="S51" i="10" s="1"/>
  <c r="S52" i="10" s="1"/>
  <c r="BV132" i="1"/>
  <c r="U61" i="10" s="1"/>
  <c r="U62" i="10" s="1"/>
  <c r="D17" i="5"/>
  <c r="CO140" i="1"/>
  <c r="AM24" i="10" s="1"/>
  <c r="CJ140" i="1"/>
  <c r="BI36" i="10" s="1"/>
  <c r="CB140" i="1"/>
  <c r="AU64" i="10" s="1"/>
  <c r="CH140" i="1"/>
  <c r="BI42" i="10" s="1"/>
  <c r="CN140" i="1"/>
  <c r="AO24" i="10" s="1"/>
  <c r="CQ140" i="1"/>
  <c r="U33" i="10" s="1"/>
  <c r="CS140" i="1"/>
  <c r="U39" i="10" s="1"/>
  <c r="CC140" i="1"/>
  <c r="AW64" i="10" s="1"/>
  <c r="CI140" i="1"/>
  <c r="BI39" i="10" s="1"/>
  <c r="CK140" i="1"/>
  <c r="AU24" i="10" s="1"/>
  <c r="CM140" i="1"/>
  <c r="AQ24" i="10" s="1"/>
  <c r="BX140" i="1"/>
  <c r="AA64" i="10" s="1"/>
  <c r="CD140" i="1"/>
  <c r="AY64" i="10" s="1"/>
  <c r="CG140" i="1"/>
  <c r="BI45" i="10" s="1"/>
  <c r="BY140" i="1"/>
  <c r="AC64" i="10" s="1"/>
  <c r="CA140" i="1"/>
  <c r="AS64" i="10" s="1"/>
  <c r="BZ140" i="1"/>
  <c r="AE64" i="10" s="1"/>
  <c r="CE140" i="1"/>
  <c r="BA64" i="10" s="1"/>
  <c r="BV140" i="1"/>
  <c r="W64" i="10" s="1"/>
  <c r="CR140" i="1"/>
  <c r="U36" i="10" s="1"/>
  <c r="CT140" i="1"/>
  <c r="U42" i="10" s="1"/>
  <c r="U43" i="10" s="1"/>
  <c r="CP140" i="1"/>
  <c r="U30" i="10" s="1"/>
  <c r="BW140" i="1"/>
  <c r="Y64" i="10" s="1"/>
  <c r="CL140" i="1"/>
  <c r="AS24" i="10" s="1"/>
  <c r="CF140" i="1"/>
  <c r="BI48" i="10" s="1"/>
  <c r="DC140" i="1"/>
  <c r="DA140" i="1"/>
  <c r="CY140" i="1"/>
  <c r="CW140" i="1"/>
  <c r="DD140" i="1"/>
  <c r="DB140" i="1"/>
  <c r="CZ140" i="1"/>
  <c r="CX140" i="1"/>
  <c r="CV140" i="1"/>
  <c r="CU140" i="1"/>
  <c r="BX132" i="1"/>
  <c r="AQ61" i="10" s="1"/>
  <c r="AQ62" i="10" s="1"/>
  <c r="CB132" i="1"/>
  <c r="AW21" i="10" s="1"/>
  <c r="AW22" i="10" s="1"/>
  <c r="AU62" i="10" l="1"/>
  <c r="BG49" i="10"/>
  <c r="AM25" i="10"/>
  <c r="AQ22" i="10"/>
  <c r="BG40" i="10"/>
  <c r="AO22" i="10"/>
  <c r="U40" i="10"/>
  <c r="BG37" i="10"/>
  <c r="BG46" i="10"/>
  <c r="AQ25" i="10"/>
  <c r="BI37" i="10"/>
  <c r="S40" i="10"/>
  <c r="BG43" i="10"/>
  <c r="U31" i="10"/>
  <c r="AO25" i="10"/>
  <c r="AA62" i="10"/>
  <c r="AU22" i="10"/>
  <c r="S31" i="10"/>
  <c r="AY62" i="10"/>
  <c r="AW62" i="10"/>
  <c r="AC62" i="10"/>
  <c r="W62" i="10"/>
  <c r="Y62" i="10"/>
  <c r="BA62" i="10"/>
  <c r="AS62" i="10"/>
  <c r="CD133" i="1"/>
  <c r="U27" i="10" s="1"/>
  <c r="U28" i="10" s="1"/>
  <c r="BX133" i="1"/>
  <c r="AQ64" i="10" s="1"/>
  <c r="AQ65" i="10" s="1"/>
  <c r="CA133" i="1"/>
  <c r="BI27" i="10" s="1"/>
  <c r="BI28" i="10" s="1"/>
  <c r="CB133" i="1"/>
  <c r="AW24" i="10" s="1"/>
  <c r="AW25" i="10" s="1"/>
  <c r="BZ133" i="1"/>
  <c r="BI51" i="10" s="1"/>
  <c r="BI52" i="10" s="1"/>
  <c r="CC133" i="1"/>
  <c r="AE24" i="10" s="1"/>
  <c r="AE25" i="10" s="1"/>
  <c r="BV133" i="1"/>
  <c r="U64" i="10" s="1"/>
  <c r="U65" i="10" s="1"/>
  <c r="CE133" i="1"/>
  <c r="U51" i="10" s="1"/>
  <c r="U52" i="10" s="1"/>
  <c r="BW133" i="1"/>
  <c r="AK64" i="10" s="1"/>
  <c r="AK65" i="10" s="1"/>
  <c r="BY133" i="1"/>
  <c r="BG64" i="10" s="1"/>
  <c r="BG65" i="10" s="1"/>
  <c r="AS25" i="10" l="1"/>
  <c r="BI40" i="10"/>
  <c r="BI49" i="10"/>
  <c r="AU25" i="10"/>
  <c r="U34" i="10"/>
  <c r="BI46" i="10"/>
  <c r="U37" i="10"/>
  <c r="BI43" i="10"/>
  <c r="AA65" i="10"/>
  <c r="AY65" i="10"/>
  <c r="AS65" i="10"/>
  <c r="BA65" i="10"/>
  <c r="Y65" i="10"/>
  <c r="AU65" i="10"/>
  <c r="AE65" i="10"/>
  <c r="AC65" i="10"/>
  <c r="W65" i="10"/>
  <c r="AW65" i="10"/>
</calcChain>
</file>

<file path=xl/sharedStrings.xml><?xml version="1.0" encoding="utf-8"?>
<sst xmlns="http://schemas.openxmlformats.org/spreadsheetml/2006/main" count="500" uniqueCount="111">
  <si>
    <t>Job No.</t>
    <phoneticPr fontId="1" type="noConversion"/>
  </si>
  <si>
    <t>Client</t>
    <phoneticPr fontId="1" type="noConversion"/>
  </si>
  <si>
    <t>Suburb</t>
    <phoneticPr fontId="1" type="noConversion"/>
  </si>
  <si>
    <t>Location</t>
    <phoneticPr fontId="1" type="noConversion"/>
  </si>
  <si>
    <t>Description</t>
    <phoneticPr fontId="1" type="noConversion"/>
  </si>
  <si>
    <t>Approach</t>
  </si>
  <si>
    <t>Direction</t>
  </si>
  <si>
    <t>Time Period</t>
  </si>
  <si>
    <t>Total</t>
  </si>
  <si>
    <t>to</t>
  </si>
  <si>
    <t>AM Totals</t>
  </si>
  <si>
    <t>PM Totals</t>
  </si>
  <si>
    <t>Day/Date</t>
    <phoneticPr fontId="1" type="noConversion"/>
  </si>
  <si>
    <t>Weather</t>
    <phoneticPr fontId="1" type="noConversion"/>
  </si>
  <si>
    <t>A</t>
    <phoneticPr fontId="1" type="noConversion"/>
  </si>
  <si>
    <t>: Hourly Summary</t>
    <phoneticPr fontId="1" type="noConversion"/>
  </si>
  <si>
    <t>All Vehicles</t>
  </si>
  <si>
    <t>: 15 mins Data</t>
    <phoneticPr fontId="1" type="noConversion"/>
  </si>
  <si>
    <t>: Intersection Diagram</t>
    <phoneticPr fontId="1" type="noConversion"/>
  </si>
  <si>
    <t>: Classified Intersection Count</t>
  </si>
  <si>
    <t>: Fine</t>
  </si>
  <si>
    <t>AM max</t>
  </si>
  <si>
    <t>PM max</t>
  </si>
  <si>
    <t>AM</t>
  </si>
  <si>
    <t>: Peak Hour Summary</t>
  </si>
  <si>
    <t>Grand Total</t>
  </si>
  <si>
    <t>PM</t>
  </si>
  <si>
    <t>B</t>
  </si>
  <si>
    <t>AM Peak</t>
  </si>
  <si>
    <t>PM Peak</t>
  </si>
  <si>
    <t>(Vol)</t>
  </si>
  <si>
    <t>(%C)</t>
  </si>
  <si>
    <t>Hour Starting</t>
  </si>
  <si>
    <t>Vehicle Type</t>
  </si>
  <si>
    <t>G</t>
  </si>
  <si>
    <t>H</t>
  </si>
  <si>
    <t>↑</t>
  </si>
  <si>
    <t>↓</t>
  </si>
  <si>
    <t>←</t>
  </si>
  <si>
    <t>→</t>
  </si>
  <si>
    <t>Selected</t>
  </si>
  <si>
    <t>Hour &amp; Vehicle Type</t>
  </si>
  <si>
    <t>AM Total</t>
  </si>
  <si>
    <t>PM Total</t>
  </si>
  <si>
    <t>Class 1</t>
  </si>
  <si>
    <t>Class 2</t>
  </si>
  <si>
    <t>Classifications</t>
  </si>
  <si>
    <t>Direction 1</t>
  </si>
  <si>
    <t>Direction 2</t>
  </si>
  <si>
    <t>Direction 3</t>
  </si>
  <si>
    <t>Direction 4</t>
  </si>
  <si>
    <t>Direction 5</t>
  </si>
  <si>
    <t>Direction 6</t>
  </si>
  <si>
    <t>Direction 7</t>
  </si>
  <si>
    <t>Direction 8</t>
  </si>
  <si>
    <t>Direction 9</t>
  </si>
  <si>
    <t>Direction 10</t>
  </si>
  <si>
    <t>Direction 11</t>
  </si>
  <si>
    <t>Direction 12</t>
  </si>
  <si>
    <t>Direction 13</t>
  </si>
  <si>
    <t>Direction 14</t>
  </si>
  <si>
    <t>Direction 15</t>
  </si>
  <si>
    <t>Direction 16</t>
  </si>
  <si>
    <t>Direction 17</t>
  </si>
  <si>
    <t>Direction 18</t>
  </si>
  <si>
    <t>Direction 19</t>
  </si>
  <si>
    <t>Direction 20</t>
  </si>
  <si>
    <t>I</t>
  </si>
  <si>
    <t>J</t>
  </si>
  <si>
    <t>Out</t>
  </si>
  <si>
    <t>In</t>
  </si>
  <si>
    <t>Hour Starting</t>
    <phoneticPr fontId="1" type="noConversion"/>
  </si>
  <si>
    <t>Vehicle Type</t>
    <phoneticPr fontId="1" type="noConversion"/>
  </si>
  <si>
    <t>A</t>
    <phoneticPr fontId="1" type="noConversion"/>
  </si>
  <si>
    <t>B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</si>
  <si>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</si>
  <si>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</si>
  <si>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</si>
  <si>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</si>
  <si>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Direction 4U</t>
    <phoneticPr fontId="1" type="noConversion"/>
  </si>
  <si>
    <t>Direction 8U</t>
    <phoneticPr fontId="1" type="noConversion"/>
  </si>
  <si>
    <t>Direction 12U</t>
    <phoneticPr fontId="1" type="noConversion"/>
  </si>
  <si>
    <t>Direction 16U</t>
    <phoneticPr fontId="1" type="noConversion"/>
  </si>
  <si>
    <t>Direction 20U</t>
    <phoneticPr fontId="1" type="noConversion"/>
  </si>
  <si>
    <t>4U</t>
    <phoneticPr fontId="1" type="noConversion"/>
  </si>
  <si>
    <t>8U</t>
    <phoneticPr fontId="1" type="noConversion"/>
  </si>
  <si>
    <t>12U</t>
    <phoneticPr fontId="1" type="noConversion"/>
  </si>
  <si>
    <t>16U</t>
    <phoneticPr fontId="1" type="noConversion"/>
  </si>
  <si>
    <t>20U</t>
    <phoneticPr fontId="1" type="noConversion"/>
  </si>
  <si>
    <t>AM Peak Total</t>
    <phoneticPr fontId="1" type="noConversion"/>
  </si>
  <si>
    <t>PM Peak Total</t>
    <phoneticPr fontId="1" type="noConversion"/>
  </si>
  <si>
    <t>Class 3</t>
  </si>
  <si>
    <t>Buses</t>
    <phoneticPr fontId="1" type="noConversion"/>
  </si>
  <si>
    <t>E</t>
    <phoneticPr fontId="1" type="noConversion"/>
  </si>
  <si>
    <t>F</t>
    <phoneticPr fontId="1" type="noConversion"/>
  </si>
  <si>
    <t>D</t>
    <phoneticPr fontId="1" type="noConversion"/>
  </si>
  <si>
    <t>C</t>
    <phoneticPr fontId="1" type="noConversion"/>
  </si>
  <si>
    <t>8U</t>
    <phoneticPr fontId="1" type="noConversion"/>
  </si>
  <si>
    <t>16U</t>
    <phoneticPr fontId="1" type="noConversion"/>
  </si>
  <si>
    <t>12U</t>
    <phoneticPr fontId="1" type="noConversion"/>
  </si>
  <si>
    <t>: NZNth13356</t>
  </si>
  <si>
    <t>: Preston Road Surveys</t>
  </si>
  <si>
    <t>: Auckland Transport</t>
  </si>
  <si>
    <t>: 2. Great N Rd / St Georges Rd / St Jude St / Wingate St</t>
  </si>
  <si>
    <t>Great N Rd</t>
  </si>
  <si>
    <t>St Georges Rd</t>
  </si>
  <si>
    <t>Wingate St</t>
  </si>
  <si>
    <t>St Jude St</t>
  </si>
  <si>
    <t>: Wed, 3 September 2025</t>
  </si>
  <si>
    <t>Lights</t>
  </si>
  <si>
    <t>Heavies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</si>
</sst>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hh:mm"/>
    <numFmt numFmtId="166" formatCode="0.0"/>
  </numFmts>
  <fonts count="35">
    <font>
      <sz val="11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sz val="15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4"/>
      <name val="Calibri"/>
      <family val="2"/>
    </font>
    <font>
      <b/>
      <sz val="10"/>
      <name val="Calibri"/>
      <family val="2"/>
    </font>
    <font>
      <b/>
      <sz val="10"/>
      <color rgb="FF0070C0"/>
      <name val="Calibri"/>
      <family val="2"/>
    </font>
    <font>
      <sz val="10"/>
      <name val="Calibri"/>
      <family val="2"/>
    </font>
    <font>
      <sz val="11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rgb="FF009900"/>
      <name val="Calibri"/>
      <family val="2"/>
    </font>
    <font>
      <sz val="11"/>
      <color rgb="FF009900"/>
      <name val="Calibri"/>
      <family val="2"/>
    </font>
    <font>
      <sz val="12"/>
      <name val="Calibri"/>
      <family val="2"/>
      <scheme val="minor"/>
    </font>
    <font>
      <sz val="11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FD5A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rgb="FFCDCDCD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</cellStyleXfs>
  <cellXfs count="418">
    <xf numFmtId="0" fontId="0" fillId="0" borderId="0" xfId="0">
      <alignment vertical="center"/>
    </xf>
    <xf numFmtId="0" fontId="6" fillId="2" borderId="0" xfId="0" applyFont="1" applyFill="1" applyProtection="1">
      <alignment vertical="center"/>
      <protection hidden="1"/>
    </xf>
    <xf numFmtId="0" fontId="15" fillId="2" borderId="0" xfId="0" applyFont="1" applyFill="1" applyProtection="1">
      <alignment vertical="center"/>
      <protection hidden="1"/>
    </xf>
    <xf numFmtId="0" fontId="7" fillId="2" borderId="0" xfId="0" applyFont="1" applyFill="1" applyProtection="1">
      <alignment vertical="center"/>
      <protection hidden="1"/>
    </xf>
    <xf numFmtId="0" fontId="11" fillId="2" borderId="0" xfId="0" applyFont="1" applyFill="1" applyProtection="1">
      <alignment vertical="center"/>
      <protection hidden="1"/>
    </xf>
    <xf numFmtId="0" fontId="6" fillId="4" borderId="0" xfId="0" applyFont="1" applyFill="1" applyProtection="1">
      <alignment vertical="center"/>
      <protection hidden="1"/>
    </xf>
    <xf numFmtId="0" fontId="5" fillId="2" borderId="0" xfId="0" applyFont="1" applyFill="1" applyAlignment="1" applyProtection="1">
      <alignment horizontal="center" vertical="center" textRotation="90"/>
      <protection hidden="1"/>
    </xf>
    <xf numFmtId="0" fontId="15" fillId="2" borderId="0" xfId="0" applyFont="1" applyFill="1" applyAlignment="1" applyProtection="1">
      <alignment horizontal="center"/>
      <protection hidden="1"/>
    </xf>
    <xf numFmtId="0" fontId="15" fillId="2" borderId="0" xfId="0" applyFont="1" applyFill="1" applyAlignment="1" applyProtection="1">
      <protection hidden="1"/>
    </xf>
    <xf numFmtId="20" fontId="15" fillId="2" borderId="0" xfId="0" applyNumberFormat="1" applyFont="1" applyFill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left" vertical="center"/>
      <protection hidden="1"/>
    </xf>
    <xf numFmtId="20" fontId="15" fillId="2" borderId="0" xfId="0" applyNumberFormat="1" applyFont="1" applyFill="1" applyProtection="1">
      <alignment vertical="center"/>
      <protection hidden="1"/>
    </xf>
    <xf numFmtId="164" fontId="17" fillId="2" borderId="0" xfId="0" applyNumberFormat="1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top"/>
      <protection hidden="1"/>
    </xf>
    <xf numFmtId="164" fontId="15" fillId="8" borderId="0" xfId="0" applyNumberFormat="1" applyFont="1" applyFill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right"/>
      <protection hidden="1"/>
    </xf>
    <xf numFmtId="0" fontId="16" fillId="2" borderId="0" xfId="0" applyFont="1" applyFill="1" applyAlignment="1" applyProtection="1">
      <alignment horizontal="center" vertical="center" textRotation="90"/>
      <protection hidden="1"/>
    </xf>
    <xf numFmtId="0" fontId="29" fillId="2" borderId="0" xfId="0" applyFont="1" applyFill="1" applyAlignment="1" applyProtection="1">
      <alignment horizontal="center"/>
      <protection hidden="1"/>
    </xf>
    <xf numFmtId="0" fontId="29" fillId="2" borderId="0" xfId="0" applyFont="1" applyFill="1" applyAlignment="1" applyProtection="1">
      <alignment horizontal="left"/>
      <protection hidden="1"/>
    </xf>
    <xf numFmtId="9" fontId="15" fillId="8" borderId="0" xfId="0" applyNumberFormat="1" applyFont="1" applyFill="1" applyAlignment="1" applyProtection="1">
      <alignment horizontal="center" vertical="center"/>
      <protection hidden="1"/>
    </xf>
    <xf numFmtId="0" fontId="11" fillId="3" borderId="0" xfId="0" applyFont="1" applyFill="1" applyProtection="1">
      <alignment vertical="center"/>
      <protection hidden="1"/>
    </xf>
    <xf numFmtId="0" fontId="6" fillId="3" borderId="0" xfId="0" applyFont="1" applyFill="1" applyProtection="1">
      <alignment vertical="center"/>
      <protection hidden="1"/>
    </xf>
    <xf numFmtId="0" fontId="29" fillId="2" borderId="0" xfId="0" applyFont="1" applyFill="1" applyAlignment="1" applyProtection="1">
      <alignment horizontal="right" vertical="top"/>
      <protection hidden="1"/>
    </xf>
    <xf numFmtId="0" fontId="29" fillId="2" borderId="0" xfId="0" applyFont="1" applyFill="1" applyAlignment="1" applyProtection="1">
      <alignment horizontal="center" vertical="top"/>
      <protection hidden="1"/>
    </xf>
    <xf numFmtId="9" fontId="6" fillId="2" borderId="0" xfId="0" applyNumberFormat="1" applyFont="1" applyFill="1" applyAlignment="1" applyProtection="1">
      <alignment horizontal="center" vertical="center"/>
      <protection hidden="1"/>
    </xf>
    <xf numFmtId="0" fontId="6" fillId="8" borderId="0" xfId="0" applyFont="1" applyFill="1" applyProtection="1">
      <alignment vertical="center"/>
      <protection hidden="1"/>
    </xf>
    <xf numFmtId="0" fontId="12" fillId="2" borderId="13" xfId="0" applyFont="1" applyFill="1" applyBorder="1" applyAlignment="1" applyProtection="1">
      <alignment horizontal="center" textRotation="90"/>
      <protection hidden="1"/>
    </xf>
    <xf numFmtId="0" fontId="12" fillId="2" borderId="15" xfId="0" applyFont="1" applyFill="1" applyBorder="1" applyAlignment="1" applyProtection="1">
      <alignment horizontal="center" textRotation="90"/>
      <protection hidden="1"/>
    </xf>
    <xf numFmtId="0" fontId="12" fillId="2" borderId="16" xfId="0" applyFont="1" applyFill="1" applyBorder="1" applyAlignment="1" applyProtection="1">
      <alignment horizontal="center" textRotation="90"/>
      <protection hidden="1"/>
    </xf>
    <xf numFmtId="0" fontId="6" fillId="2" borderId="0" xfId="0" applyFont="1" applyFill="1" applyAlignment="1" applyProtection="1">
      <protection hidden="1"/>
    </xf>
    <xf numFmtId="20" fontId="4" fillId="2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20" fontId="4" fillId="2" borderId="3" xfId="0" applyNumberFormat="1" applyFont="1" applyFill="1" applyBorder="1" applyAlignment="1" applyProtection="1">
      <alignment horizontal="center" vertical="center"/>
      <protection hidden="1"/>
    </xf>
    <xf numFmtId="3" fontId="4" fillId="2" borderId="18" xfId="0" applyNumberFormat="1" applyFont="1" applyFill="1" applyBorder="1" applyAlignment="1" applyProtection="1">
      <alignment horizontal="center" vertical="center"/>
      <protection hidden="1"/>
    </xf>
    <xf numFmtId="3" fontId="4" fillId="2" borderId="17" xfId="0" applyNumberFormat="1" applyFont="1" applyFill="1" applyBorder="1" applyAlignment="1" applyProtection="1">
      <alignment horizontal="center" vertical="center"/>
      <protection hidden="1"/>
    </xf>
    <xf numFmtId="3" fontId="8" fillId="2" borderId="29" xfId="0" applyNumberFormat="1" applyFont="1" applyFill="1" applyBorder="1" applyAlignment="1" applyProtection="1">
      <alignment horizontal="center" vertical="center"/>
      <protection hidden="1"/>
    </xf>
    <xf numFmtId="3" fontId="8" fillId="2" borderId="6" xfId="0" applyNumberFormat="1" applyFont="1" applyFill="1" applyBorder="1" applyAlignment="1" applyProtection="1">
      <alignment horizontal="center" vertical="center"/>
      <protection hidden="1"/>
    </xf>
    <xf numFmtId="20" fontId="4" fillId="2" borderId="4" xfId="0" applyNumberFormat="1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20" fontId="4" fillId="2" borderId="5" xfId="0" applyNumberFormat="1" applyFont="1" applyFill="1" applyBorder="1" applyAlignment="1" applyProtection="1">
      <alignment horizontal="center" vertical="center"/>
      <protection hidden="1"/>
    </xf>
    <xf numFmtId="3" fontId="4" fillId="2" borderId="19" xfId="0" applyNumberFormat="1" applyFont="1" applyFill="1" applyBorder="1" applyAlignment="1" applyProtection="1">
      <alignment horizontal="center" vertical="center"/>
      <protection hidden="1"/>
    </xf>
    <xf numFmtId="3" fontId="4" fillId="2" borderId="20" xfId="0" applyNumberFormat="1" applyFont="1" applyFill="1" applyBorder="1" applyAlignment="1" applyProtection="1">
      <alignment horizontal="center" vertical="center"/>
      <protection hidden="1"/>
    </xf>
    <xf numFmtId="3" fontId="8" fillId="2" borderId="9" xfId="0" applyNumberFormat="1" applyFont="1" applyFill="1" applyBorder="1" applyAlignment="1" applyProtection="1">
      <alignment horizontal="center" vertical="center"/>
      <protection hidden="1"/>
    </xf>
    <xf numFmtId="3" fontId="4" fillId="2" borderId="36" xfId="0" applyNumberFormat="1" applyFont="1" applyFill="1" applyBorder="1" applyAlignment="1" applyProtection="1">
      <alignment horizontal="center" vertical="center"/>
      <protection hidden="1"/>
    </xf>
    <xf numFmtId="3" fontId="8" fillId="2" borderId="13" xfId="0" applyNumberFormat="1" applyFont="1" applyFill="1" applyBorder="1" applyAlignment="1" applyProtection="1">
      <alignment horizontal="center" vertical="center"/>
      <protection hidden="1"/>
    </xf>
    <xf numFmtId="3" fontId="8" fillId="2" borderId="15" xfId="0" applyNumberFormat="1" applyFont="1" applyFill="1" applyBorder="1" applyAlignment="1" applyProtection="1">
      <alignment horizontal="center" vertical="center"/>
      <protection hidden="1"/>
    </xf>
    <xf numFmtId="3" fontId="8" fillId="2" borderId="16" xfId="0" applyNumberFormat="1" applyFont="1" applyFill="1" applyBorder="1" applyAlignment="1" applyProtection="1">
      <alignment horizontal="center" vertical="center"/>
      <protection hidden="1"/>
    </xf>
    <xf numFmtId="20" fontId="4" fillId="2" borderId="57" xfId="0" applyNumberFormat="1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textRotation="90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alignment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4" fillId="8" borderId="0" xfId="0" applyFont="1" applyFill="1" applyProtection="1">
      <alignment vertical="center"/>
      <protection hidden="1"/>
    </xf>
    <xf numFmtId="165" fontId="4" fillId="2" borderId="0" xfId="0" applyNumberFormat="1" applyFont="1" applyFill="1" applyProtection="1">
      <alignment vertical="center"/>
      <protection hidden="1"/>
    </xf>
    <xf numFmtId="0" fontId="4" fillId="2" borderId="0" xfId="0" applyFont="1" applyFill="1" applyAlignment="1" applyProtection="1">
      <alignment vertical="center" wrapText="1"/>
      <protection hidden="1"/>
    </xf>
    <xf numFmtId="20" fontId="4" fillId="2" borderId="0" xfId="0" applyNumberFormat="1" applyFont="1" applyFill="1" applyProtection="1">
      <alignment vertical="center"/>
      <protection hidden="1"/>
    </xf>
    <xf numFmtId="0" fontId="4" fillId="2" borderId="0" xfId="0" applyFont="1" applyFill="1" applyAlignment="1" applyProtection="1">
      <protection hidden="1"/>
    </xf>
    <xf numFmtId="20" fontId="4" fillId="2" borderId="0" xfId="0" applyNumberFormat="1" applyFont="1" applyFill="1" applyAlignment="1" applyProtection="1">
      <protection hidden="1"/>
    </xf>
    <xf numFmtId="3" fontId="4" fillId="2" borderId="37" xfId="0" applyNumberFormat="1" applyFont="1" applyFill="1" applyBorder="1" applyAlignment="1" applyProtection="1">
      <alignment horizontal="center" vertical="center"/>
      <protection hidden="1"/>
    </xf>
    <xf numFmtId="0" fontId="4" fillId="8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38" xfId="0" applyFont="1" applyFill="1" applyBorder="1" applyAlignment="1" applyProtection="1">
      <alignment horizontal="center" vertical="center"/>
      <protection hidden="1"/>
    </xf>
    <xf numFmtId="0" fontId="30" fillId="10" borderId="58" xfId="0" applyFont="1" applyFill="1" applyBorder="1" applyAlignment="1" applyProtection="1">
      <alignment horizontal="center" vertical="center"/>
      <protection hidden="1"/>
    </xf>
    <xf numFmtId="0" fontId="30" fillId="10" borderId="8" xfId="0" applyFont="1" applyFill="1" applyBorder="1" applyAlignment="1" applyProtection="1">
      <alignment horizontal="center" vertical="center" wrapText="1"/>
      <protection hidden="1"/>
    </xf>
    <xf numFmtId="0" fontId="30" fillId="11" borderId="8" xfId="0" applyFont="1" applyFill="1" applyBorder="1" applyAlignment="1" applyProtection="1">
      <alignment horizontal="center" vertical="center"/>
      <protection hidden="1"/>
    </xf>
    <xf numFmtId="0" fontId="30" fillId="11" borderId="59" xfId="0" applyFont="1" applyFill="1" applyBorder="1" applyAlignment="1" applyProtection="1">
      <alignment horizontal="center" vertical="center"/>
      <protection hidden="1"/>
    </xf>
    <xf numFmtId="0" fontId="30" fillId="6" borderId="59" xfId="0" applyFont="1" applyFill="1" applyBorder="1" applyAlignment="1" applyProtection="1">
      <alignment horizontal="center" vertical="center"/>
      <protection hidden="1"/>
    </xf>
    <xf numFmtId="0" fontId="30" fillId="12" borderId="59" xfId="0" applyFont="1" applyFill="1" applyBorder="1" applyAlignment="1" applyProtection="1">
      <alignment horizontal="center" vertical="center"/>
      <protection hidden="1"/>
    </xf>
    <xf numFmtId="0" fontId="30" fillId="12" borderId="8" xfId="0" applyFont="1" applyFill="1" applyBorder="1" applyAlignment="1" applyProtection="1">
      <alignment horizontal="center" vertical="center"/>
      <protection hidden="1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0" fontId="4" fillId="2" borderId="39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4" fillId="5" borderId="8" xfId="0" applyFont="1" applyFill="1" applyBorder="1" applyAlignment="1" applyProtection="1">
      <alignment horizontal="center" vertical="center"/>
      <protection hidden="1"/>
    </xf>
    <xf numFmtId="0" fontId="4" fillId="22" borderId="8" xfId="0" applyFont="1" applyFill="1" applyBorder="1" applyAlignment="1" applyProtection="1">
      <alignment horizontal="center" vertical="center"/>
      <protection hidden="1"/>
    </xf>
    <xf numFmtId="0" fontId="4" fillId="18" borderId="8" xfId="0" applyFont="1" applyFill="1" applyBorder="1" applyAlignment="1" applyProtection="1">
      <alignment horizontal="center" vertical="center"/>
      <protection hidden="1"/>
    </xf>
    <xf numFmtId="0" fontId="4" fillId="7" borderId="8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right" vertical="center"/>
      <protection hidden="1"/>
    </xf>
    <xf numFmtId="3" fontId="4" fillId="2" borderId="39" xfId="0" applyNumberFormat="1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Protection="1">
      <alignment vertical="center"/>
      <protection hidden="1"/>
    </xf>
    <xf numFmtId="0" fontId="14" fillId="2" borderId="0" xfId="0" applyFont="1" applyFill="1" applyProtection="1">
      <alignment vertical="center"/>
      <protection hidden="1"/>
    </xf>
    <xf numFmtId="0" fontId="4" fillId="2" borderId="51" xfId="0" applyFont="1" applyFill="1" applyBorder="1" applyAlignment="1" applyProtection="1">
      <protection hidden="1"/>
    </xf>
    <xf numFmtId="20" fontId="4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20" fontId="3" fillId="2" borderId="0" xfId="0" applyNumberFormat="1" applyFont="1" applyFill="1" applyAlignment="1" applyProtection="1">
      <alignment horizontal="center" vertical="center"/>
      <protection hidden="1"/>
    </xf>
    <xf numFmtId="3" fontId="8" fillId="2" borderId="56" xfId="0" applyNumberFormat="1" applyFont="1" applyFill="1" applyBorder="1" applyAlignment="1" applyProtection="1">
      <alignment horizontal="center" vertical="center"/>
      <protection hidden="1"/>
    </xf>
    <xf numFmtId="20" fontId="6" fillId="2" borderId="0" xfId="0" applyNumberFormat="1" applyFont="1" applyFill="1" applyProtection="1">
      <alignment vertical="center"/>
      <protection hidden="1"/>
    </xf>
    <xf numFmtId="0" fontId="4" fillId="2" borderId="47" xfId="0" applyFont="1" applyFill="1" applyBorder="1" applyAlignment="1" applyProtection="1">
      <alignment horizontal="center" vertical="center"/>
      <protection locked="0" hidden="1"/>
    </xf>
    <xf numFmtId="20" fontId="4" fillId="2" borderId="2" xfId="0" applyNumberFormat="1" applyFont="1" applyFill="1" applyBorder="1" applyAlignment="1" applyProtection="1">
      <alignment horizontal="center" vertical="center"/>
      <protection locked="0" hidden="1"/>
    </xf>
    <xf numFmtId="20" fontId="4" fillId="2" borderId="4" xfId="0" applyNumberFormat="1" applyFont="1" applyFill="1" applyBorder="1" applyAlignment="1" applyProtection="1">
      <alignment horizontal="center" vertical="center"/>
      <protection locked="0" hidden="1"/>
    </xf>
    <xf numFmtId="0" fontId="11" fillId="4" borderId="0" xfId="0" applyFont="1" applyFill="1" applyProtection="1">
      <alignment vertical="center"/>
      <protection locked="0"/>
    </xf>
    <xf numFmtId="3" fontId="4" fillId="2" borderId="18" xfId="0" applyNumberFormat="1" applyFont="1" applyFill="1" applyBorder="1" applyAlignment="1" applyProtection="1">
      <alignment horizontal="center" vertical="center"/>
      <protection locked="0" hidden="1"/>
    </xf>
    <xf numFmtId="3" fontId="4" fillId="2" borderId="17" xfId="0" applyNumberFormat="1" applyFont="1" applyFill="1" applyBorder="1" applyAlignment="1" applyProtection="1">
      <alignment horizontal="center" vertical="center"/>
      <protection locked="0" hidden="1"/>
    </xf>
    <xf numFmtId="3" fontId="4" fillId="2" borderId="19" xfId="0" applyNumberFormat="1" applyFont="1" applyFill="1" applyBorder="1" applyAlignment="1" applyProtection="1">
      <alignment horizontal="center" vertical="center"/>
      <protection locked="0" hidden="1"/>
    </xf>
    <xf numFmtId="3" fontId="4" fillId="2" borderId="20" xfId="0" applyNumberFormat="1" applyFont="1" applyFill="1" applyBorder="1" applyAlignment="1" applyProtection="1">
      <alignment horizontal="center" vertical="center"/>
      <protection locked="0" hidden="1"/>
    </xf>
    <xf numFmtId="165" fontId="6" fillId="2" borderId="0" xfId="0" applyNumberFormat="1" applyFont="1" applyFill="1" applyProtection="1">
      <alignment vertical="center"/>
      <protection hidden="1"/>
    </xf>
    <xf numFmtId="0" fontId="5" fillId="8" borderId="0" xfId="0" applyFont="1" applyFill="1" applyAlignment="1" applyProtection="1">
      <alignment horizontal="center" vertical="center" textRotation="90"/>
      <protection hidden="1"/>
    </xf>
    <xf numFmtId="0" fontId="5" fillId="8" borderId="0" xfId="0" applyFont="1" applyFill="1" applyAlignment="1" applyProtection="1">
      <alignment horizontal="center" textRotation="90"/>
      <protection hidden="1"/>
    </xf>
    <xf numFmtId="0" fontId="4" fillId="2" borderId="0" xfId="0" applyFont="1" applyFill="1" applyAlignment="1" applyProtection="1">
      <alignment wrapText="1"/>
      <protection hidden="1"/>
    </xf>
    <xf numFmtId="20" fontId="3" fillId="2" borderId="2" xfId="0" applyNumberFormat="1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20" fontId="3" fillId="2" borderId="3" xfId="0" applyNumberFormat="1" applyFont="1" applyFill="1" applyBorder="1" applyAlignment="1" applyProtection="1">
      <alignment horizontal="center" vertical="center"/>
      <protection hidden="1"/>
    </xf>
    <xf numFmtId="3" fontId="4" fillId="2" borderId="7" xfId="0" applyNumberFormat="1" applyFont="1" applyFill="1" applyBorder="1" applyAlignment="1" applyProtection="1">
      <alignment horizontal="center" vertical="center"/>
      <protection hidden="1"/>
    </xf>
    <xf numFmtId="3" fontId="4" fillId="2" borderId="23" xfId="0" applyNumberFormat="1" applyFont="1" applyFill="1" applyBorder="1" applyAlignment="1" applyProtection="1">
      <alignment horizontal="center" vertical="center"/>
      <protection hidden="1"/>
    </xf>
    <xf numFmtId="3" fontId="8" fillId="9" borderId="6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20" fontId="3" fillId="2" borderId="32" xfId="0" applyNumberFormat="1" applyFont="1" applyFill="1" applyBorder="1" applyAlignment="1" applyProtection="1">
      <alignment horizontal="center" vertical="center"/>
      <protection hidden="1"/>
    </xf>
    <xf numFmtId="0" fontId="3" fillId="2" borderId="24" xfId="0" applyFont="1" applyFill="1" applyBorder="1" applyAlignment="1" applyProtection="1">
      <alignment horizontal="center" vertical="center"/>
      <protection hidden="1"/>
    </xf>
    <xf numFmtId="20" fontId="3" fillId="2" borderId="24" xfId="0" applyNumberFormat="1" applyFont="1" applyFill="1" applyBorder="1" applyAlignment="1" applyProtection="1">
      <alignment horizontal="center" vertical="center"/>
      <protection hidden="1"/>
    </xf>
    <xf numFmtId="3" fontId="4" fillId="2" borderId="10" xfId="0" applyNumberFormat="1" applyFont="1" applyFill="1" applyBorder="1" applyAlignment="1" applyProtection="1">
      <alignment horizontal="center" vertical="center"/>
      <protection hidden="1"/>
    </xf>
    <xf numFmtId="3" fontId="4" fillId="2" borderId="25" xfId="0" applyNumberFormat="1" applyFont="1" applyFill="1" applyBorder="1" applyAlignment="1" applyProtection="1">
      <alignment horizontal="center" vertical="center"/>
      <protection hidden="1"/>
    </xf>
    <xf numFmtId="3" fontId="8" fillId="2" borderId="21" xfId="0" applyNumberFormat="1" applyFont="1" applyFill="1" applyBorder="1" applyAlignment="1" applyProtection="1">
      <alignment horizontal="center" vertical="center"/>
      <protection hidden="1"/>
    </xf>
    <xf numFmtId="3" fontId="8" fillId="9" borderId="21" xfId="0" applyNumberFormat="1" applyFont="1" applyFill="1" applyBorder="1" applyAlignment="1" applyProtection="1">
      <alignment horizontal="center" vertical="center"/>
      <protection hidden="1"/>
    </xf>
    <xf numFmtId="0" fontId="4" fillId="8" borderId="26" xfId="0" applyFont="1" applyFill="1" applyBorder="1" applyProtection="1">
      <alignment vertical="center"/>
      <protection hidden="1"/>
    </xf>
    <xf numFmtId="0" fontId="4" fillId="0" borderId="40" xfId="0" applyFont="1" applyBorder="1" applyProtection="1">
      <alignment vertical="center"/>
      <protection hidden="1"/>
    </xf>
    <xf numFmtId="0" fontId="3" fillId="2" borderId="40" xfId="0" applyFont="1" applyFill="1" applyBorder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Protection="1">
      <alignment vertical="center"/>
      <protection hidden="1"/>
    </xf>
    <xf numFmtId="20" fontId="4" fillId="2" borderId="27" xfId="0" applyNumberFormat="1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20" fontId="3" fillId="0" borderId="8" xfId="0" applyNumberFormat="1" applyFont="1" applyBorder="1" applyProtection="1">
      <alignment vertical="center"/>
      <protection hidden="1"/>
    </xf>
    <xf numFmtId="0" fontId="4" fillId="2" borderId="8" xfId="0" applyFont="1" applyFill="1" applyBorder="1" applyProtection="1">
      <alignment vertical="center"/>
      <protection hidden="1"/>
    </xf>
    <xf numFmtId="0" fontId="4" fillId="16" borderId="8" xfId="0" applyFont="1" applyFill="1" applyBorder="1" applyProtection="1">
      <alignment vertical="center"/>
      <protection hidden="1"/>
    </xf>
    <xf numFmtId="0" fontId="4" fillId="9" borderId="8" xfId="0" applyFont="1" applyFill="1" applyBorder="1" applyProtection="1">
      <alignment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20" fontId="4" fillId="2" borderId="30" xfId="0" applyNumberFormat="1" applyFont="1" applyFill="1" applyBorder="1" applyAlignment="1" applyProtection="1">
      <alignment horizontal="center" vertical="center"/>
      <protection hidden="1"/>
    </xf>
    <xf numFmtId="0" fontId="4" fillId="2" borderId="31" xfId="0" applyFont="1" applyFill="1" applyBorder="1" applyAlignment="1" applyProtection="1">
      <alignment horizontal="center" vertical="center"/>
      <protection hidden="1"/>
    </xf>
    <xf numFmtId="20" fontId="4" fillId="2" borderId="31" xfId="0" applyNumberFormat="1" applyFont="1" applyFill="1" applyBorder="1" applyAlignment="1" applyProtection="1">
      <alignment horizontal="center" vertical="center"/>
      <protection hidden="1"/>
    </xf>
    <xf numFmtId="0" fontId="3" fillId="8" borderId="0" xfId="0" applyFont="1" applyFill="1" applyProtection="1">
      <alignment vertical="center"/>
      <protection hidden="1"/>
    </xf>
    <xf numFmtId="3" fontId="8" fillId="9" borderId="9" xfId="0" applyNumberFormat="1" applyFont="1" applyFill="1" applyBorder="1" applyAlignment="1" applyProtection="1">
      <alignment horizontal="center" vertical="center"/>
      <protection hidden="1"/>
    </xf>
    <xf numFmtId="3" fontId="8" fillId="9" borderId="29" xfId="0" applyNumberFormat="1" applyFont="1" applyFill="1" applyBorder="1" applyAlignment="1" applyProtection="1">
      <alignment horizontal="center" vertical="center"/>
      <protection hidden="1"/>
    </xf>
    <xf numFmtId="0" fontId="18" fillId="15" borderId="0" xfId="0" applyFont="1" applyFill="1" applyProtection="1">
      <alignment vertical="center"/>
      <protection hidden="1"/>
    </xf>
    <xf numFmtId="0" fontId="18" fillId="0" borderId="0" xfId="0" applyFont="1" applyProtection="1">
      <alignment vertical="center"/>
      <protection hidden="1"/>
    </xf>
    <xf numFmtId="0" fontId="19" fillId="0" borderId="0" xfId="0" applyFont="1" applyProtection="1">
      <alignment vertical="center"/>
      <protection hidden="1"/>
    </xf>
    <xf numFmtId="0" fontId="20" fillId="0" borderId="0" xfId="0" applyFont="1" applyProtection="1">
      <alignment vertical="center"/>
      <protection hidden="1"/>
    </xf>
    <xf numFmtId="0" fontId="18" fillId="11" borderId="0" xfId="0" applyFont="1" applyFill="1" applyProtection="1">
      <alignment vertical="center"/>
      <protection hidden="1"/>
    </xf>
    <xf numFmtId="0" fontId="21" fillId="3" borderId="0" xfId="0" applyFont="1" applyFill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3" fontId="20" fillId="0" borderId="0" xfId="1" applyNumberFormat="1" applyFont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horizontal="center"/>
      <protection hidden="1"/>
    </xf>
    <xf numFmtId="0" fontId="20" fillId="0" borderId="0" xfId="1" applyFont="1" applyAlignment="1" applyProtection="1">
      <alignment vertical="center"/>
      <protection hidden="1"/>
    </xf>
    <xf numFmtId="3" fontId="20" fillId="0" borderId="0" xfId="0" applyNumberFormat="1" applyFont="1" applyProtection="1">
      <alignment vertical="center"/>
      <protection hidden="1"/>
    </xf>
    <xf numFmtId="0" fontId="22" fillId="0" borderId="0" xfId="1" applyFont="1" applyAlignment="1" applyProtection="1">
      <alignment horizontal="center" vertical="top"/>
      <protection hidden="1"/>
    </xf>
    <xf numFmtId="0" fontId="18" fillId="18" borderId="41" xfId="1" applyFont="1" applyFill="1" applyBorder="1" applyAlignment="1" applyProtection="1">
      <alignment vertical="center"/>
      <protection hidden="1"/>
    </xf>
    <xf numFmtId="0" fontId="18" fillId="18" borderId="42" xfId="1" applyFont="1" applyFill="1" applyBorder="1" applyAlignment="1" applyProtection="1">
      <alignment vertical="center"/>
      <protection hidden="1"/>
    </xf>
    <xf numFmtId="0" fontId="18" fillId="18" borderId="43" xfId="1" applyFont="1" applyFill="1" applyBorder="1" applyAlignment="1" applyProtection="1">
      <alignment vertical="center"/>
      <protection hidden="1"/>
    </xf>
    <xf numFmtId="0" fontId="18" fillId="23" borderId="41" xfId="1" applyFont="1" applyFill="1" applyBorder="1" applyAlignment="1" applyProtection="1">
      <alignment vertical="center"/>
      <protection hidden="1"/>
    </xf>
    <xf numFmtId="0" fontId="18" fillId="23" borderId="42" xfId="1" applyFont="1" applyFill="1" applyBorder="1" applyAlignment="1" applyProtection="1">
      <alignment vertical="center"/>
      <protection hidden="1"/>
    </xf>
    <xf numFmtId="0" fontId="18" fillId="23" borderId="43" xfId="1" applyFont="1" applyFill="1" applyBorder="1" applyAlignment="1" applyProtection="1">
      <alignment vertical="center"/>
      <protection hidden="1"/>
    </xf>
    <xf numFmtId="0" fontId="18" fillId="18" borderId="49" xfId="1" applyFont="1" applyFill="1" applyBorder="1" applyAlignment="1" applyProtection="1">
      <alignment vertical="center"/>
      <protection hidden="1"/>
    </xf>
    <xf numFmtId="3" fontId="20" fillId="14" borderId="0" xfId="1" applyNumberFormat="1" applyFont="1" applyFill="1" applyAlignment="1" applyProtection="1">
      <alignment horizontal="center" vertical="center"/>
      <protection hidden="1"/>
    </xf>
    <xf numFmtId="0" fontId="18" fillId="18" borderId="0" xfId="1" applyFont="1" applyFill="1" applyAlignment="1" applyProtection="1">
      <alignment vertical="center"/>
      <protection hidden="1"/>
    </xf>
    <xf numFmtId="3" fontId="18" fillId="18" borderId="0" xfId="1" applyNumberFormat="1" applyFont="1" applyFill="1" applyAlignment="1" applyProtection="1">
      <alignment vertical="center"/>
      <protection hidden="1"/>
    </xf>
    <xf numFmtId="0" fontId="18" fillId="18" borderId="48" xfId="1" applyFont="1" applyFill="1" applyBorder="1" applyAlignment="1" applyProtection="1">
      <alignment vertical="center"/>
      <protection hidden="1"/>
    </xf>
    <xf numFmtId="0" fontId="18" fillId="23" borderId="49" xfId="1" applyFont="1" applyFill="1" applyBorder="1" applyAlignment="1" applyProtection="1">
      <alignment vertical="center"/>
      <protection hidden="1"/>
    </xf>
    <xf numFmtId="3" fontId="20" fillId="24" borderId="0" xfId="1" applyNumberFormat="1" applyFont="1" applyFill="1" applyAlignment="1" applyProtection="1">
      <alignment horizontal="center" vertical="center"/>
      <protection hidden="1"/>
    </xf>
    <xf numFmtId="0" fontId="18" fillId="23" borderId="0" xfId="1" applyFont="1" applyFill="1" applyAlignment="1" applyProtection="1">
      <alignment vertical="center"/>
      <protection hidden="1"/>
    </xf>
    <xf numFmtId="3" fontId="20" fillId="23" borderId="22" xfId="2" applyNumberFormat="1" applyFont="1" applyFill="1" applyBorder="1" applyAlignment="1" applyProtection="1">
      <alignment horizontal="center" vertical="center"/>
      <protection hidden="1"/>
    </xf>
    <xf numFmtId="3" fontId="18" fillId="23" borderId="0" xfId="1" applyNumberFormat="1" applyFont="1" applyFill="1" applyAlignment="1" applyProtection="1">
      <alignment vertical="center"/>
      <protection hidden="1"/>
    </xf>
    <xf numFmtId="0" fontId="18" fillId="23" borderId="48" xfId="1" applyFont="1" applyFill="1" applyBorder="1" applyAlignment="1" applyProtection="1">
      <alignment vertical="center"/>
      <protection hidden="1"/>
    </xf>
    <xf numFmtId="9" fontId="24" fillId="14" borderId="0" xfId="2" applyFont="1" applyFill="1" applyAlignment="1" applyProtection="1">
      <alignment horizontal="center" vertical="center"/>
      <protection hidden="1"/>
    </xf>
    <xf numFmtId="9" fontId="24" fillId="14" borderId="0" xfId="1" applyNumberFormat="1" applyFont="1" applyFill="1" applyAlignment="1" applyProtection="1">
      <alignment horizontal="center" vertical="center"/>
      <protection hidden="1"/>
    </xf>
    <xf numFmtId="9" fontId="24" fillId="24" borderId="0" xfId="2" applyFont="1" applyFill="1" applyAlignment="1" applyProtection="1">
      <alignment horizontal="center" vertical="center"/>
      <protection hidden="1"/>
    </xf>
    <xf numFmtId="9" fontId="24" fillId="23" borderId="39" xfId="2" applyFont="1" applyFill="1" applyBorder="1" applyAlignment="1" applyProtection="1">
      <alignment horizontal="center" vertical="center"/>
      <protection hidden="1"/>
    </xf>
    <xf numFmtId="9" fontId="24" fillId="24" borderId="0" xfId="1" applyNumberFormat="1" applyFont="1" applyFill="1" applyAlignment="1" applyProtection="1">
      <alignment horizontal="center" vertical="center"/>
      <protection hidden="1"/>
    </xf>
    <xf numFmtId="0" fontId="18" fillId="18" borderId="44" xfId="1" applyFont="1" applyFill="1" applyBorder="1" applyAlignment="1" applyProtection="1">
      <alignment vertical="center"/>
      <protection hidden="1"/>
    </xf>
    <xf numFmtId="0" fontId="18" fillId="18" borderId="45" xfId="1" applyFont="1" applyFill="1" applyBorder="1" applyAlignment="1" applyProtection="1">
      <alignment vertical="center"/>
      <protection hidden="1"/>
    </xf>
    <xf numFmtId="0" fontId="18" fillId="18" borderId="46" xfId="1" applyFont="1" applyFill="1" applyBorder="1" applyAlignment="1" applyProtection="1">
      <alignment vertical="center"/>
      <protection hidden="1"/>
    </xf>
    <xf numFmtId="0" fontId="18" fillId="23" borderId="44" xfId="1" applyFont="1" applyFill="1" applyBorder="1" applyAlignment="1" applyProtection="1">
      <alignment vertical="center"/>
      <protection hidden="1"/>
    </xf>
    <xf numFmtId="0" fontId="18" fillId="23" borderId="45" xfId="1" applyFont="1" applyFill="1" applyBorder="1" applyAlignment="1" applyProtection="1">
      <alignment vertical="center"/>
      <protection hidden="1"/>
    </xf>
    <xf numFmtId="0" fontId="18" fillId="23" borderId="46" xfId="1" applyFont="1" applyFill="1" applyBorder="1" applyAlignment="1" applyProtection="1">
      <alignment vertical="center"/>
      <protection hidden="1"/>
    </xf>
    <xf numFmtId="1" fontId="20" fillId="0" borderId="0" xfId="1" applyNumberFormat="1" applyFont="1" applyAlignment="1" applyProtection="1">
      <alignment horizontal="center" vertical="center"/>
      <protection hidden="1"/>
    </xf>
    <xf numFmtId="3" fontId="20" fillId="0" borderId="22" xfId="1" applyNumberFormat="1" applyFont="1" applyBorder="1" applyAlignment="1" applyProtection="1">
      <alignment horizontal="center" vertical="center"/>
      <protection hidden="1"/>
    </xf>
    <xf numFmtId="9" fontId="24" fillId="0" borderId="39" xfId="1" applyNumberFormat="1" applyFont="1" applyBorder="1" applyAlignment="1" applyProtection="1">
      <alignment horizontal="center" vertical="center"/>
      <protection hidden="1"/>
    </xf>
    <xf numFmtId="9" fontId="20" fillId="0" borderId="0" xfId="1" applyNumberFormat="1" applyFont="1" applyAlignment="1" applyProtection="1">
      <alignment horizontal="center" vertical="center"/>
      <protection hidden="1"/>
    </xf>
    <xf numFmtId="9" fontId="18" fillId="0" borderId="0" xfId="1" applyNumberFormat="1" applyFont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vertical="center"/>
      <protection hidden="1"/>
    </xf>
    <xf numFmtId="0" fontId="18" fillId="0" borderId="41" xfId="0" applyFont="1" applyBorder="1" applyProtection="1">
      <alignment vertical="center"/>
      <protection hidden="1"/>
    </xf>
    <xf numFmtId="0" fontId="26" fillId="0" borderId="42" xfId="0" applyFont="1" applyBorder="1" applyProtection="1">
      <alignment vertical="center"/>
      <protection hidden="1"/>
    </xf>
    <xf numFmtId="0" fontId="18" fillId="0" borderId="42" xfId="0" applyFont="1" applyBorder="1" applyProtection="1">
      <alignment vertical="center"/>
      <protection hidden="1"/>
    </xf>
    <xf numFmtId="0" fontId="18" fillId="0" borderId="42" xfId="1" applyFont="1" applyBorder="1" applyAlignment="1" applyProtection="1">
      <alignment vertical="center"/>
      <protection hidden="1"/>
    </xf>
    <xf numFmtId="0" fontId="18" fillId="0" borderId="43" xfId="1" applyFont="1" applyBorder="1" applyAlignment="1" applyProtection="1">
      <alignment vertical="center"/>
      <protection hidden="1"/>
    </xf>
    <xf numFmtId="0" fontId="18" fillId="0" borderId="49" xfId="0" applyFont="1" applyBorder="1" applyProtection="1">
      <alignment vertical="center"/>
      <protection hidden="1"/>
    </xf>
    <xf numFmtId="0" fontId="18" fillId="0" borderId="48" xfId="1" applyFont="1" applyBorder="1" applyAlignment="1" applyProtection="1">
      <alignment vertical="center"/>
      <protection hidden="1"/>
    </xf>
    <xf numFmtId="0" fontId="18" fillId="0" borderId="44" xfId="0" applyFont="1" applyBorder="1" applyProtection="1">
      <alignment vertical="center"/>
      <protection hidden="1"/>
    </xf>
    <xf numFmtId="0" fontId="18" fillId="0" borderId="45" xfId="0" applyFont="1" applyBorder="1" applyProtection="1">
      <alignment vertical="center"/>
      <protection hidden="1"/>
    </xf>
    <xf numFmtId="0" fontId="18" fillId="0" borderId="45" xfId="1" applyFont="1" applyBorder="1" applyAlignment="1" applyProtection="1">
      <alignment vertical="center"/>
      <protection hidden="1"/>
    </xf>
    <xf numFmtId="0" fontId="18" fillId="0" borderId="46" xfId="1" applyFont="1" applyBorder="1" applyAlignment="1" applyProtection="1">
      <alignment vertical="center"/>
      <protection hidden="1"/>
    </xf>
    <xf numFmtId="0" fontId="27" fillId="0" borderId="0" xfId="1" applyFont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vertical="center"/>
      <protection hidden="1"/>
    </xf>
    <xf numFmtId="3" fontId="18" fillId="0" borderId="0" xfId="1" applyNumberFormat="1" applyFont="1" applyAlignment="1" applyProtection="1">
      <alignment vertical="center"/>
      <protection hidden="1"/>
    </xf>
    <xf numFmtId="0" fontId="18" fillId="20" borderId="41" xfId="1" applyFont="1" applyFill="1" applyBorder="1" applyAlignment="1" applyProtection="1">
      <alignment vertical="center"/>
      <protection hidden="1"/>
    </xf>
    <xf numFmtId="0" fontId="18" fillId="20" borderId="42" xfId="1" applyFont="1" applyFill="1" applyBorder="1" applyAlignment="1" applyProtection="1">
      <alignment vertical="center"/>
      <protection hidden="1"/>
    </xf>
    <xf numFmtId="0" fontId="18" fillId="20" borderId="43" xfId="1" applyFont="1" applyFill="1" applyBorder="1" applyAlignment="1" applyProtection="1">
      <alignment vertical="center"/>
      <protection hidden="1"/>
    </xf>
    <xf numFmtId="1" fontId="18" fillId="0" borderId="0" xfId="2" applyNumberFormat="1" applyFont="1" applyAlignment="1" applyProtection="1">
      <alignment horizontal="center" vertical="center"/>
      <protection hidden="1"/>
    </xf>
    <xf numFmtId="164" fontId="18" fillId="0" borderId="0" xfId="1" applyNumberFormat="1" applyFont="1" applyAlignment="1" applyProtection="1">
      <alignment horizontal="center" vertical="center"/>
      <protection hidden="1"/>
    </xf>
    <xf numFmtId="1" fontId="18" fillId="0" borderId="0" xfId="1" applyNumberFormat="1" applyFont="1" applyAlignment="1" applyProtection="1">
      <alignment horizontal="center" vertical="center"/>
      <protection hidden="1"/>
    </xf>
    <xf numFmtId="0" fontId="18" fillId="19" borderId="41" xfId="1" applyFont="1" applyFill="1" applyBorder="1" applyAlignment="1" applyProtection="1">
      <alignment vertical="center"/>
      <protection hidden="1"/>
    </xf>
    <xf numFmtId="0" fontId="18" fillId="19" borderId="42" xfId="1" applyFont="1" applyFill="1" applyBorder="1" applyAlignment="1" applyProtection="1">
      <alignment vertical="center"/>
      <protection hidden="1"/>
    </xf>
    <xf numFmtId="0" fontId="18" fillId="19" borderId="43" xfId="1" applyFont="1" applyFill="1" applyBorder="1" applyAlignment="1" applyProtection="1">
      <alignment vertical="center"/>
      <protection hidden="1"/>
    </xf>
    <xf numFmtId="1" fontId="18" fillId="20" borderId="49" xfId="1" applyNumberFormat="1" applyFont="1" applyFill="1" applyBorder="1" applyAlignment="1" applyProtection="1">
      <alignment horizontal="center" vertical="center"/>
      <protection hidden="1"/>
    </xf>
    <xf numFmtId="3" fontId="18" fillId="20" borderId="48" xfId="1" applyNumberFormat="1" applyFont="1" applyFill="1" applyBorder="1" applyAlignment="1" applyProtection="1">
      <alignment vertical="center"/>
      <protection hidden="1"/>
    </xf>
    <xf numFmtId="3" fontId="20" fillId="0" borderId="22" xfId="2" applyNumberFormat="1" applyFont="1" applyBorder="1" applyAlignment="1" applyProtection="1">
      <alignment horizontal="center" vertical="center"/>
      <protection hidden="1"/>
    </xf>
    <xf numFmtId="3" fontId="18" fillId="19" borderId="49" xfId="1" applyNumberFormat="1" applyFont="1" applyFill="1" applyBorder="1" applyAlignment="1" applyProtection="1">
      <alignment horizontal="center" vertical="center"/>
      <protection hidden="1"/>
    </xf>
    <xf numFmtId="0" fontId="18" fillId="19" borderId="48" xfId="1" applyFont="1" applyFill="1" applyBorder="1" applyAlignment="1" applyProtection="1">
      <alignment vertical="center"/>
      <protection hidden="1"/>
    </xf>
    <xf numFmtId="1" fontId="20" fillId="20" borderId="49" xfId="1" applyNumberFormat="1" applyFont="1" applyFill="1" applyBorder="1" applyAlignment="1" applyProtection="1">
      <alignment horizontal="center" vertical="center"/>
      <protection hidden="1"/>
    </xf>
    <xf numFmtId="0" fontId="18" fillId="20" borderId="48" xfId="1" applyFont="1" applyFill="1" applyBorder="1" applyAlignment="1" applyProtection="1">
      <alignment vertical="center"/>
      <protection hidden="1"/>
    </xf>
    <xf numFmtId="9" fontId="18" fillId="0" borderId="0" xfId="1" applyNumberFormat="1" applyFont="1" applyAlignment="1" applyProtection="1">
      <alignment vertical="center"/>
      <protection hidden="1"/>
    </xf>
    <xf numFmtId="1" fontId="20" fillId="19" borderId="49" xfId="1" applyNumberFormat="1" applyFont="1" applyFill="1" applyBorder="1" applyAlignment="1" applyProtection="1">
      <alignment horizontal="center" vertical="center"/>
      <protection hidden="1"/>
    </xf>
    <xf numFmtId="0" fontId="18" fillId="20" borderId="0" xfId="1" applyFont="1" applyFill="1" applyAlignment="1" applyProtection="1">
      <alignment vertical="center"/>
      <protection hidden="1"/>
    </xf>
    <xf numFmtId="164" fontId="18" fillId="0" borderId="0" xfId="2" applyNumberFormat="1" applyFont="1" applyAlignment="1" applyProtection="1">
      <alignment horizontal="center" vertical="center"/>
      <protection hidden="1"/>
    </xf>
    <xf numFmtId="0" fontId="18" fillId="19" borderId="0" xfId="1" applyFont="1" applyFill="1" applyAlignment="1" applyProtection="1">
      <alignment vertical="center"/>
      <protection hidden="1"/>
    </xf>
    <xf numFmtId="0" fontId="20" fillId="20" borderId="49" xfId="1" applyFont="1" applyFill="1" applyBorder="1" applyAlignment="1" applyProtection="1">
      <alignment horizontal="center" vertical="center"/>
      <protection hidden="1"/>
    </xf>
    <xf numFmtId="3" fontId="20" fillId="20" borderId="22" xfId="2" applyNumberFormat="1" applyFont="1" applyFill="1" applyBorder="1" applyAlignment="1" applyProtection="1">
      <alignment horizontal="center" vertical="center"/>
      <protection hidden="1"/>
    </xf>
    <xf numFmtId="3" fontId="18" fillId="0" borderId="0" xfId="2" applyNumberFormat="1" applyFont="1" applyAlignment="1" applyProtection="1">
      <alignment horizontal="center" vertical="center"/>
      <protection hidden="1"/>
    </xf>
    <xf numFmtId="3" fontId="18" fillId="0" borderId="0" xfId="1" applyNumberFormat="1" applyFont="1" applyAlignment="1" applyProtection="1">
      <alignment horizontal="center" vertical="center"/>
      <protection hidden="1"/>
    </xf>
    <xf numFmtId="0" fontId="20" fillId="19" borderId="49" xfId="1" applyFont="1" applyFill="1" applyBorder="1" applyAlignment="1" applyProtection="1">
      <alignment horizontal="center" vertical="center"/>
      <protection hidden="1"/>
    </xf>
    <xf numFmtId="9" fontId="24" fillId="20" borderId="39" xfId="2" applyFont="1" applyFill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166" fontId="18" fillId="0" borderId="0" xfId="1" applyNumberFormat="1" applyFont="1" applyAlignment="1" applyProtection="1">
      <alignment horizontal="center" vertical="center"/>
      <protection hidden="1"/>
    </xf>
    <xf numFmtId="3" fontId="18" fillId="19" borderId="49" xfId="1" applyNumberFormat="1" applyFont="1" applyFill="1" applyBorder="1" applyAlignment="1" applyProtection="1">
      <alignment vertical="center"/>
      <protection hidden="1"/>
    </xf>
    <xf numFmtId="3" fontId="20" fillId="19" borderId="22" xfId="2" applyNumberFormat="1" applyFont="1" applyFill="1" applyBorder="1" applyAlignment="1" applyProtection="1">
      <alignment horizontal="center" vertical="center"/>
      <protection hidden="1"/>
    </xf>
    <xf numFmtId="0" fontId="18" fillId="19" borderId="49" xfId="1" applyFont="1" applyFill="1" applyBorder="1" applyAlignment="1" applyProtection="1">
      <alignment vertical="center"/>
      <protection hidden="1"/>
    </xf>
    <xf numFmtId="9" fontId="24" fillId="19" borderId="39" xfId="2" applyFont="1" applyFill="1" applyBorder="1" applyAlignment="1" applyProtection="1">
      <alignment horizontal="center" vertical="center"/>
      <protection hidden="1"/>
    </xf>
    <xf numFmtId="0" fontId="18" fillId="20" borderId="49" xfId="1" applyFont="1" applyFill="1" applyBorder="1" applyAlignment="1" applyProtection="1">
      <alignment vertical="center"/>
      <protection hidden="1"/>
    </xf>
    <xf numFmtId="3" fontId="20" fillId="19" borderId="49" xfId="1" applyNumberFormat="1" applyFont="1" applyFill="1" applyBorder="1" applyAlignment="1" applyProtection="1">
      <alignment horizontal="center" vertical="center"/>
      <protection hidden="1"/>
    </xf>
    <xf numFmtId="1" fontId="18" fillId="19" borderId="49" xfId="1" applyNumberFormat="1" applyFont="1" applyFill="1" applyBorder="1" applyAlignment="1" applyProtection="1">
      <alignment horizontal="center" vertical="center"/>
      <protection hidden="1"/>
    </xf>
    <xf numFmtId="1" fontId="18" fillId="20" borderId="44" xfId="1" applyNumberFormat="1" applyFont="1" applyFill="1" applyBorder="1" applyAlignment="1" applyProtection="1">
      <alignment horizontal="center" vertical="center"/>
      <protection hidden="1"/>
    </xf>
    <xf numFmtId="0" fontId="18" fillId="20" borderId="45" xfId="1" applyFont="1" applyFill="1" applyBorder="1" applyAlignment="1" applyProtection="1">
      <alignment vertical="center"/>
      <protection hidden="1"/>
    </xf>
    <xf numFmtId="0" fontId="18" fillId="20" borderId="46" xfId="1" applyFont="1" applyFill="1" applyBorder="1" applyAlignment="1" applyProtection="1">
      <alignment vertical="center"/>
      <protection hidden="1"/>
    </xf>
    <xf numFmtId="1" fontId="18" fillId="19" borderId="44" xfId="1" applyNumberFormat="1" applyFont="1" applyFill="1" applyBorder="1" applyAlignment="1" applyProtection="1">
      <alignment horizontal="center" vertical="center"/>
      <protection hidden="1"/>
    </xf>
    <xf numFmtId="0" fontId="18" fillId="19" borderId="45" xfId="1" applyFont="1" applyFill="1" applyBorder="1" applyAlignment="1" applyProtection="1">
      <alignment vertical="center"/>
      <protection hidden="1"/>
    </xf>
    <xf numFmtId="0" fontId="18" fillId="19" borderId="46" xfId="1" applyFont="1" applyFill="1" applyBorder="1" applyAlignment="1" applyProtection="1">
      <alignment vertical="center"/>
      <protection hidden="1"/>
    </xf>
    <xf numFmtId="0" fontId="18" fillId="17" borderId="41" xfId="1" applyFont="1" applyFill="1" applyBorder="1" applyAlignment="1" applyProtection="1">
      <alignment vertical="center"/>
      <protection hidden="1"/>
    </xf>
    <xf numFmtId="0" fontId="18" fillId="17" borderId="42" xfId="1" applyFont="1" applyFill="1" applyBorder="1" applyAlignment="1" applyProtection="1">
      <alignment vertical="center"/>
      <protection hidden="1"/>
    </xf>
    <xf numFmtId="0" fontId="18" fillId="17" borderId="43" xfId="1" applyFont="1" applyFill="1" applyBorder="1" applyAlignment="1" applyProtection="1">
      <alignment vertical="center"/>
      <protection hidden="1"/>
    </xf>
    <xf numFmtId="0" fontId="18" fillId="17" borderId="49" xfId="1" applyFont="1" applyFill="1" applyBorder="1" applyAlignment="1" applyProtection="1">
      <alignment vertical="center"/>
      <protection hidden="1"/>
    </xf>
    <xf numFmtId="3" fontId="18" fillId="17" borderId="0" xfId="1" applyNumberFormat="1" applyFont="1" applyFill="1" applyAlignment="1" applyProtection="1">
      <alignment vertical="center"/>
      <protection hidden="1"/>
    </xf>
    <xf numFmtId="0" fontId="18" fillId="17" borderId="0" xfId="1" applyFont="1" applyFill="1" applyAlignment="1" applyProtection="1">
      <alignment vertical="center"/>
      <protection hidden="1"/>
    </xf>
    <xf numFmtId="0" fontId="23" fillId="17" borderId="0" xfId="1" applyFont="1" applyFill="1" applyAlignment="1" applyProtection="1">
      <alignment vertical="center"/>
      <protection hidden="1"/>
    </xf>
    <xf numFmtId="0" fontId="18" fillId="17" borderId="48" xfId="1" applyFont="1" applyFill="1" applyBorder="1" applyAlignment="1" applyProtection="1">
      <alignment vertical="center"/>
      <protection hidden="1"/>
    </xf>
    <xf numFmtId="0" fontId="18" fillId="17" borderId="44" xfId="1" applyFont="1" applyFill="1" applyBorder="1" applyAlignment="1" applyProtection="1">
      <alignment vertical="center"/>
      <protection hidden="1"/>
    </xf>
    <xf numFmtId="0" fontId="18" fillId="17" borderId="45" xfId="1" applyFont="1" applyFill="1" applyBorder="1" applyAlignment="1" applyProtection="1">
      <alignment vertical="center"/>
      <protection hidden="1"/>
    </xf>
    <xf numFmtId="0" fontId="18" fillId="17" borderId="46" xfId="1" applyFont="1" applyFill="1" applyBorder="1" applyAlignment="1" applyProtection="1">
      <alignment vertical="center"/>
      <protection hidden="1"/>
    </xf>
    <xf numFmtId="0" fontId="20" fillId="0" borderId="0" xfId="1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3" fontId="8" fillId="2" borderId="0" xfId="0" applyNumberFormat="1" applyFont="1" applyFill="1" applyAlignment="1" applyProtection="1">
      <alignment horizontal="center" vertical="center"/>
      <protection hidden="1"/>
    </xf>
    <xf numFmtId="0" fontId="4" fillId="2" borderId="58" xfId="0" applyFont="1" applyFill="1" applyBorder="1" applyAlignment="1" applyProtection="1">
      <alignment horizontal="center" vertical="center"/>
      <protection hidden="1"/>
    </xf>
    <xf numFmtId="0" fontId="4" fillId="2" borderId="60" xfId="0" applyFont="1" applyFill="1" applyBorder="1" applyAlignment="1" applyProtection="1">
      <alignment horizontal="center" vertical="center"/>
      <protection hidden="1"/>
    </xf>
    <xf numFmtId="3" fontId="4" fillId="2" borderId="8" xfId="0" applyNumberFormat="1" applyFont="1" applyFill="1" applyBorder="1" applyAlignment="1" applyProtection="1">
      <alignment horizontal="center" vertical="center"/>
      <protection hidden="1"/>
    </xf>
    <xf numFmtId="0" fontId="4" fillId="2" borderId="61" xfId="0" applyFont="1" applyFill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3" fontId="4" fillId="2" borderId="62" xfId="0" applyNumberFormat="1" applyFont="1" applyFill="1" applyBorder="1" applyAlignment="1" applyProtection="1">
      <alignment horizontal="center" vertical="center"/>
      <protection hidden="1"/>
    </xf>
    <xf numFmtId="3" fontId="4" fillId="2" borderId="38" xfId="0" applyNumberFormat="1" applyFont="1" applyFill="1" applyBorder="1" applyAlignment="1" applyProtection="1">
      <alignment horizontal="center" vertical="center"/>
      <protection hidden="1"/>
    </xf>
    <xf numFmtId="3" fontId="4" fillId="2" borderId="11" xfId="0" applyNumberFormat="1" applyFont="1" applyFill="1" applyBorder="1" applyAlignment="1" applyProtection="1">
      <alignment horizontal="center" vertical="center"/>
      <protection hidden="1"/>
    </xf>
    <xf numFmtId="0" fontId="12" fillId="2" borderId="34" xfId="0" applyFont="1" applyFill="1" applyBorder="1" applyAlignment="1" applyProtection="1">
      <alignment horizontal="center" textRotation="90"/>
      <protection hidden="1"/>
    </xf>
    <xf numFmtId="3" fontId="4" fillId="2" borderId="31" xfId="0" applyNumberFormat="1" applyFont="1" applyFill="1" applyBorder="1" applyAlignment="1" applyProtection="1">
      <alignment horizontal="center" vertical="center"/>
      <protection locked="0" hidden="1"/>
    </xf>
    <xf numFmtId="3" fontId="4" fillId="2" borderId="3" xfId="0" applyNumberFormat="1" applyFont="1" applyFill="1" applyBorder="1" applyAlignment="1" applyProtection="1">
      <alignment horizontal="center" vertical="center"/>
      <protection locked="0" hidden="1"/>
    </xf>
    <xf numFmtId="3" fontId="8" fillId="2" borderId="34" xfId="0" applyNumberFormat="1" applyFont="1" applyFill="1" applyBorder="1" applyAlignment="1" applyProtection="1">
      <alignment horizontal="center" vertical="center"/>
      <protection hidden="1"/>
    </xf>
    <xf numFmtId="3" fontId="4" fillId="2" borderId="31" xfId="0" applyNumberFormat="1" applyFont="1" applyFill="1" applyBorder="1" applyAlignment="1" applyProtection="1">
      <alignment horizontal="center" vertical="center"/>
      <protection hidden="1"/>
    </xf>
    <xf numFmtId="3" fontId="4" fillId="2" borderId="5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textRotation="90"/>
      <protection hidden="1"/>
    </xf>
    <xf numFmtId="3" fontId="4" fillId="2" borderId="63" xfId="0" applyNumberFormat="1" applyFont="1" applyFill="1" applyBorder="1" applyAlignment="1" applyProtection="1">
      <alignment horizontal="center" vertical="center"/>
      <protection hidden="1"/>
    </xf>
    <xf numFmtId="3" fontId="4" fillId="2" borderId="64" xfId="0" applyNumberFormat="1" applyFont="1" applyFill="1" applyBorder="1" applyAlignment="1" applyProtection="1">
      <alignment horizontal="center" vertical="center"/>
      <protection hidden="1"/>
    </xf>
    <xf numFmtId="3" fontId="4" fillId="2" borderId="3" xfId="0" applyNumberFormat="1" applyFont="1" applyFill="1" applyBorder="1" applyAlignment="1" applyProtection="1">
      <alignment horizontal="center" vertical="center"/>
      <protection hidden="1"/>
    </xf>
    <xf numFmtId="0" fontId="12" fillId="2" borderId="14" xfId="0" applyFont="1" applyFill="1" applyBorder="1" applyAlignment="1" applyProtection="1">
      <alignment horizontal="center" textRotation="90"/>
      <protection hidden="1"/>
    </xf>
    <xf numFmtId="3" fontId="32" fillId="2" borderId="13" xfId="0" applyNumberFormat="1" applyFont="1" applyFill="1" applyBorder="1" applyAlignment="1" applyProtection="1">
      <alignment horizontal="center" vertical="center"/>
      <protection hidden="1"/>
    </xf>
    <xf numFmtId="3" fontId="32" fillId="2" borderId="34" xfId="0" applyNumberFormat="1" applyFont="1" applyFill="1" applyBorder="1" applyAlignment="1" applyProtection="1">
      <alignment horizontal="center" vertical="center"/>
      <protection hidden="1"/>
    </xf>
    <xf numFmtId="3" fontId="32" fillId="2" borderId="15" xfId="0" applyNumberFormat="1" applyFont="1" applyFill="1" applyBorder="1" applyAlignment="1" applyProtection="1">
      <alignment horizontal="center" vertical="center"/>
      <protection hidden="1"/>
    </xf>
    <xf numFmtId="3" fontId="32" fillId="2" borderId="16" xfId="0" applyNumberFormat="1" applyFont="1" applyFill="1" applyBorder="1" applyAlignment="1" applyProtection="1">
      <alignment horizontal="center" vertical="center"/>
      <protection hidden="1"/>
    </xf>
    <xf numFmtId="3" fontId="32" fillId="9" borderId="16" xfId="0" applyNumberFormat="1" applyFont="1" applyFill="1" applyBorder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right" vertical="center"/>
      <protection hidden="1"/>
    </xf>
    <xf numFmtId="0" fontId="29" fillId="2" borderId="0" xfId="0" applyFont="1" applyFill="1" applyAlignment="1" applyProtection="1">
      <alignment horizontal="center" vertical="center"/>
      <protection hidden="1"/>
    </xf>
    <xf numFmtId="164" fontId="17" fillId="8" borderId="0" xfId="0" applyNumberFormat="1" applyFont="1" applyFill="1" applyAlignment="1" applyProtection="1">
      <alignment horizontal="center" vertical="center"/>
      <protection hidden="1"/>
    </xf>
    <xf numFmtId="164" fontId="17" fillId="8" borderId="0" xfId="0" applyNumberFormat="1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center" vertical="top"/>
      <protection hidden="1"/>
    </xf>
    <xf numFmtId="20" fontId="17" fillId="2" borderId="0" xfId="0" applyNumberFormat="1" applyFont="1" applyFill="1" applyAlignment="1" applyProtection="1">
      <alignment horizontal="right"/>
      <protection hidden="1"/>
    </xf>
    <xf numFmtId="20" fontId="17" fillId="2" borderId="0" xfId="0" applyNumberFormat="1" applyFont="1" applyFill="1" applyAlignment="1" applyProtection="1">
      <alignment horizontal="left"/>
      <protection hidden="1"/>
    </xf>
    <xf numFmtId="0" fontId="20" fillId="0" borderId="0" xfId="1" applyFont="1" applyAlignment="1" applyProtection="1">
      <alignment vertical="center" wrapText="1"/>
      <protection hidden="1"/>
    </xf>
    <xf numFmtId="0" fontId="23" fillId="0" borderId="0" xfId="1" applyFont="1" applyAlignment="1" applyProtection="1">
      <alignment vertical="center"/>
      <protection hidden="1"/>
    </xf>
    <xf numFmtId="3" fontId="20" fillId="0" borderId="0" xfId="2" applyNumberFormat="1" applyFont="1" applyAlignment="1" applyProtection="1">
      <alignment horizontal="center" vertical="center"/>
      <protection hidden="1"/>
    </xf>
    <xf numFmtId="9" fontId="24" fillId="0" borderId="0" xfId="2" applyFont="1" applyAlignment="1" applyProtection="1">
      <alignment horizontal="center" vertical="center"/>
      <protection hidden="1"/>
    </xf>
    <xf numFmtId="9" fontId="24" fillId="0" borderId="0" xfId="1" applyNumberFormat="1" applyFont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20" fillId="0" borderId="0" xfId="0" applyFont="1" applyAlignment="1" applyProtection="1">
      <alignment vertical="center" textRotation="90"/>
      <protection hidden="1"/>
    </xf>
    <xf numFmtId="0" fontId="18" fillId="0" borderId="0" xfId="1" applyFont="1" applyAlignment="1" applyProtection="1">
      <alignment horizontal="left" vertical="center"/>
      <protection hidden="1"/>
    </xf>
    <xf numFmtId="0" fontId="18" fillId="0" borderId="0" xfId="1" applyFont="1" applyAlignment="1" applyProtection="1">
      <alignment vertical="center" wrapText="1"/>
      <protection hidden="1"/>
    </xf>
    <xf numFmtId="3" fontId="33" fillId="18" borderId="0" xfId="1" applyNumberFormat="1" applyFont="1" applyFill="1" applyAlignment="1" applyProtection="1">
      <alignment vertical="center"/>
      <protection hidden="1"/>
    </xf>
    <xf numFmtId="3" fontId="20" fillId="18" borderId="22" xfId="1" applyNumberFormat="1" applyFont="1" applyFill="1" applyBorder="1" applyAlignment="1" applyProtection="1">
      <alignment horizontal="center" vertical="center"/>
      <protection hidden="1"/>
    </xf>
    <xf numFmtId="0" fontId="33" fillId="18" borderId="0" xfId="1" applyFont="1" applyFill="1" applyAlignment="1" applyProtection="1">
      <alignment vertical="center"/>
      <protection hidden="1"/>
    </xf>
    <xf numFmtId="9" fontId="24" fillId="18" borderId="39" xfId="1" applyNumberFormat="1" applyFont="1" applyFill="1" applyBorder="1" applyAlignment="1" applyProtection="1">
      <alignment horizontal="center" vertical="center"/>
      <protection hidden="1"/>
    </xf>
    <xf numFmtId="3" fontId="20" fillId="17" borderId="22" xfId="2" applyNumberFormat="1" applyFont="1" applyFill="1" applyBorder="1" applyAlignment="1" applyProtection="1">
      <alignment horizontal="center" vertical="center"/>
      <protection hidden="1"/>
    </xf>
    <xf numFmtId="3" fontId="20" fillId="17" borderId="0" xfId="2" applyNumberFormat="1" applyFont="1" applyFill="1" applyAlignment="1" applyProtection="1">
      <alignment horizontal="center" vertical="center"/>
      <protection hidden="1"/>
    </xf>
    <xf numFmtId="9" fontId="24" fillId="17" borderId="39" xfId="2" applyFont="1" applyFill="1" applyBorder="1" applyAlignment="1" applyProtection="1">
      <alignment horizontal="center" vertical="center"/>
      <protection hidden="1"/>
    </xf>
    <xf numFmtId="9" fontId="24" fillId="17" borderId="0" xfId="2" applyFont="1" applyFill="1" applyAlignment="1" applyProtection="1">
      <alignment horizontal="center" vertical="center"/>
      <protection hidden="1"/>
    </xf>
    <xf numFmtId="0" fontId="18" fillId="0" borderId="52" xfId="1" applyFont="1" applyBorder="1" applyAlignment="1" applyProtection="1">
      <alignment vertical="center"/>
      <protection hidden="1"/>
    </xf>
    <xf numFmtId="0" fontId="18" fillId="0" borderId="65" xfId="1" applyFont="1" applyBorder="1" applyAlignment="1" applyProtection="1">
      <alignment vertical="center"/>
      <protection hidden="1"/>
    </xf>
    <xf numFmtId="0" fontId="18" fillId="0" borderId="65" xfId="0" applyFont="1" applyBorder="1" applyProtection="1">
      <alignment vertical="center"/>
      <protection hidden="1"/>
    </xf>
    <xf numFmtId="0" fontId="18" fillId="0" borderId="53" xfId="1" applyFont="1" applyBorder="1" applyAlignment="1" applyProtection="1">
      <alignment vertical="center"/>
      <protection hidden="1"/>
    </xf>
    <xf numFmtId="0" fontId="18" fillId="0" borderId="66" xfId="1" applyFont="1" applyBorder="1" applyAlignment="1" applyProtection="1">
      <alignment vertical="center"/>
      <protection hidden="1"/>
    </xf>
    <xf numFmtId="20" fontId="34" fillId="0" borderId="0" xfId="1" applyNumberFormat="1" applyFont="1" applyAlignment="1" applyProtection="1">
      <alignment vertical="center"/>
      <protection hidden="1"/>
    </xf>
    <xf numFmtId="0" fontId="18" fillId="0" borderId="67" xfId="1" applyFont="1" applyBorder="1" applyAlignment="1" applyProtection="1">
      <alignment vertical="center"/>
      <protection hidden="1"/>
    </xf>
    <xf numFmtId="0" fontId="18" fillId="0" borderId="0" xfId="1" applyFont="1" applyAlignment="1" applyProtection="1">
      <alignment horizontal="right" vertical="center"/>
      <protection hidden="1"/>
    </xf>
    <xf numFmtId="0" fontId="18" fillId="0" borderId="54" xfId="1" applyFont="1" applyBorder="1" applyAlignment="1" applyProtection="1">
      <alignment vertical="center"/>
      <protection hidden="1"/>
    </xf>
    <xf numFmtId="0" fontId="18" fillId="0" borderId="68" xfId="1" applyFont="1" applyBorder="1" applyAlignment="1" applyProtection="1">
      <alignment vertical="center"/>
      <protection hidden="1"/>
    </xf>
    <xf numFmtId="0" fontId="18" fillId="0" borderId="68" xfId="0" applyFont="1" applyBorder="1" applyProtection="1">
      <alignment vertical="center"/>
      <protection hidden="1"/>
    </xf>
    <xf numFmtId="0" fontId="18" fillId="0" borderId="55" xfId="1" applyFont="1" applyBorder="1" applyAlignment="1" applyProtection="1">
      <alignment vertical="center"/>
      <protection hidden="1"/>
    </xf>
    <xf numFmtId="3" fontId="20" fillId="8" borderId="0" xfId="1" applyNumberFormat="1" applyFont="1" applyFill="1" applyAlignment="1" applyProtection="1">
      <alignment horizontal="center" vertical="center"/>
      <protection hidden="1"/>
    </xf>
    <xf numFmtId="0" fontId="18" fillId="8" borderId="0" xfId="0" applyFont="1" applyFill="1" applyProtection="1">
      <alignment vertical="center"/>
      <protection hidden="1"/>
    </xf>
    <xf numFmtId="0" fontId="18" fillId="8" borderId="0" xfId="1" applyFont="1" applyFill="1" applyAlignment="1" applyProtection="1">
      <alignment vertical="center"/>
      <protection hidden="1"/>
    </xf>
    <xf numFmtId="0" fontId="20" fillId="8" borderId="0" xfId="1" applyFont="1" applyFill="1" applyAlignment="1" applyProtection="1">
      <alignment horizontal="center" vertical="center" wrapText="1"/>
      <protection hidden="1"/>
    </xf>
    <xf numFmtId="0" fontId="20" fillId="8" borderId="0" xfId="1" applyFont="1" applyFill="1" applyAlignment="1" applyProtection="1">
      <alignment horizontal="center" vertical="center"/>
      <protection hidden="1"/>
    </xf>
    <xf numFmtId="9" fontId="24" fillId="8" borderId="0" xfId="1" applyNumberFormat="1" applyFont="1" applyFill="1" applyAlignment="1" applyProtection="1">
      <alignment horizontal="center" vertical="center"/>
      <protection hidden="1"/>
    </xf>
    <xf numFmtId="9" fontId="20" fillId="8" borderId="0" xfId="1" applyNumberFormat="1" applyFont="1" applyFill="1" applyAlignment="1" applyProtection="1">
      <alignment horizontal="center" vertical="center"/>
      <protection hidden="1"/>
    </xf>
    <xf numFmtId="1" fontId="20" fillId="8" borderId="0" xfId="1" applyNumberFormat="1" applyFont="1" applyFill="1" applyAlignment="1" applyProtection="1">
      <alignment horizontal="center" vertical="center"/>
      <protection hidden="1"/>
    </xf>
    <xf numFmtId="0" fontId="25" fillId="8" borderId="0" xfId="1" applyFont="1" applyFill="1" applyAlignment="1" applyProtection="1">
      <alignment vertical="center"/>
      <protection hidden="1"/>
    </xf>
    <xf numFmtId="1" fontId="18" fillId="8" borderId="0" xfId="1" applyNumberFormat="1" applyFont="1" applyFill="1" applyAlignment="1" applyProtection="1">
      <alignment horizontal="center" vertical="center"/>
      <protection hidden="1"/>
    </xf>
    <xf numFmtId="3" fontId="18" fillId="8" borderId="0" xfId="1" applyNumberFormat="1" applyFont="1" applyFill="1" applyAlignment="1" applyProtection="1">
      <alignment horizontal="center" vertical="center"/>
      <protection hidden="1"/>
    </xf>
    <xf numFmtId="9" fontId="18" fillId="8" borderId="0" xfId="1" applyNumberFormat="1" applyFont="1" applyFill="1" applyAlignment="1" applyProtection="1">
      <alignment horizontal="center" vertical="center"/>
      <protection hidden="1"/>
    </xf>
    <xf numFmtId="0" fontId="18" fillId="8" borderId="0" xfId="1" applyFont="1" applyFill="1" applyAlignment="1" applyProtection="1">
      <alignment horizontal="center" vertical="center"/>
      <protection hidden="1"/>
    </xf>
    <xf numFmtId="0" fontId="20" fillId="8" borderId="0" xfId="1" applyFont="1" applyFill="1" applyAlignment="1" applyProtection="1">
      <alignment vertical="center" wrapText="1"/>
      <protection hidden="1"/>
    </xf>
    <xf numFmtId="3" fontId="18" fillId="8" borderId="0" xfId="1" applyNumberFormat="1" applyFont="1" applyFill="1" applyAlignment="1" applyProtection="1">
      <alignment vertical="center"/>
      <protection hidden="1"/>
    </xf>
    <xf numFmtId="1" fontId="18" fillId="8" borderId="0" xfId="2" applyNumberFormat="1" applyFont="1" applyFill="1" applyBorder="1" applyAlignment="1" applyProtection="1">
      <alignment horizontal="center" vertical="center"/>
      <protection hidden="1"/>
    </xf>
    <xf numFmtId="3" fontId="20" fillId="8" borderId="0" xfId="2" applyNumberFormat="1" applyFont="1" applyFill="1" applyBorder="1" applyAlignment="1" applyProtection="1">
      <alignment horizontal="center" vertical="center"/>
      <protection hidden="1"/>
    </xf>
    <xf numFmtId="9" fontId="18" fillId="8" borderId="0" xfId="1" applyNumberFormat="1" applyFont="1" applyFill="1" applyAlignment="1" applyProtection="1">
      <alignment vertical="center"/>
      <protection hidden="1"/>
    </xf>
    <xf numFmtId="0" fontId="6" fillId="21" borderId="0" xfId="0" applyFont="1" applyFill="1" applyProtection="1">
      <alignment vertical="center"/>
      <protection hidden="1"/>
    </xf>
    <xf numFmtId="0" fontId="6" fillId="8" borderId="28" xfId="0" applyFont="1" applyFill="1" applyBorder="1" applyProtection="1">
      <alignment vertical="center"/>
      <protection hidden="1"/>
    </xf>
    <xf numFmtId="0" fontId="7" fillId="7" borderId="33" xfId="0" applyFont="1" applyFill="1" applyBorder="1" applyAlignment="1" applyProtection="1">
      <alignment horizontal="center" vertical="center"/>
      <protection hidden="1"/>
    </xf>
    <xf numFmtId="0" fontId="7" fillId="7" borderId="34" xfId="0" applyFont="1" applyFill="1" applyBorder="1" applyAlignment="1" applyProtection="1">
      <alignment horizontal="center" vertical="center"/>
      <protection hidden="1"/>
    </xf>
    <xf numFmtId="0" fontId="7" fillId="7" borderId="35" xfId="0" applyFont="1" applyFill="1" applyBorder="1" applyAlignment="1" applyProtection="1">
      <alignment horizontal="center" vertical="center"/>
      <protection hidden="1"/>
    </xf>
    <xf numFmtId="0" fontId="12" fillId="2" borderId="33" xfId="0" applyFont="1" applyFill="1" applyBorder="1" applyAlignment="1" applyProtection="1">
      <alignment horizontal="center" vertical="center" wrapText="1"/>
      <protection hidden="1"/>
    </xf>
    <xf numFmtId="0" fontId="12" fillId="2" borderId="34" xfId="0" applyFont="1" applyFill="1" applyBorder="1" applyAlignment="1" applyProtection="1">
      <alignment horizontal="center" vertical="center" wrapText="1"/>
      <protection hidden="1"/>
    </xf>
    <xf numFmtId="0" fontId="12" fillId="2" borderId="35" xfId="0" applyFont="1" applyFill="1" applyBorder="1" applyAlignment="1" applyProtection="1">
      <alignment horizontal="center" vertical="center" wrapText="1"/>
      <protection hidden="1"/>
    </xf>
    <xf numFmtId="0" fontId="7" fillId="6" borderId="33" xfId="0" applyFont="1" applyFill="1" applyBorder="1" applyAlignment="1" applyProtection="1">
      <alignment horizontal="center" vertical="center"/>
      <protection hidden="1"/>
    </xf>
    <xf numFmtId="0" fontId="7" fillId="6" borderId="34" xfId="0" applyFont="1" applyFill="1" applyBorder="1" applyAlignment="1" applyProtection="1">
      <alignment horizontal="center" vertical="center"/>
      <protection hidden="1"/>
    </xf>
    <xf numFmtId="0" fontId="7" fillId="6" borderId="35" xfId="0" applyFont="1" applyFill="1" applyBorder="1" applyAlignment="1" applyProtection="1">
      <alignment horizontal="center" vertical="center"/>
      <protection hidden="1"/>
    </xf>
    <xf numFmtId="0" fontId="16" fillId="7" borderId="0" xfId="0" applyFont="1" applyFill="1" applyAlignment="1" applyProtection="1">
      <alignment horizontal="center" vertical="center" textRotation="90"/>
      <protection locked="0" hidden="1"/>
    </xf>
    <xf numFmtId="0" fontId="16" fillId="3" borderId="0" xfId="0" applyFont="1" applyFill="1" applyAlignment="1" applyProtection="1">
      <alignment horizontal="center" vertical="center" textRotation="90"/>
      <protection locked="0" hidden="1"/>
    </xf>
    <xf numFmtId="0" fontId="16" fillId="18" borderId="0" xfId="0" applyFont="1" applyFill="1" applyAlignment="1" applyProtection="1">
      <alignment horizontal="center" vertical="center"/>
      <protection locked="0" hidden="1"/>
    </xf>
    <xf numFmtId="0" fontId="16" fillId="10" borderId="0" xfId="0" applyFont="1" applyFill="1" applyAlignment="1" applyProtection="1">
      <alignment horizontal="center" vertical="center"/>
      <protection locked="0" hidden="1"/>
    </xf>
    <xf numFmtId="0" fontId="7" fillId="22" borderId="33" xfId="0" applyFont="1" applyFill="1" applyBorder="1" applyAlignment="1" applyProtection="1">
      <alignment horizontal="center" vertical="center"/>
      <protection hidden="1"/>
    </xf>
    <xf numFmtId="0" fontId="7" fillId="22" borderId="34" xfId="0" applyFont="1" applyFill="1" applyBorder="1" applyAlignment="1" applyProtection="1">
      <alignment horizontal="center" vertical="center"/>
      <protection hidden="1"/>
    </xf>
    <xf numFmtId="0" fontId="7" fillId="22" borderId="35" xfId="0" applyFont="1" applyFill="1" applyBorder="1" applyAlignment="1" applyProtection="1">
      <alignment horizontal="center" vertical="center"/>
      <protection hidden="1"/>
    </xf>
    <xf numFmtId="0" fontId="7" fillId="5" borderId="33" xfId="0" applyFont="1" applyFill="1" applyBorder="1" applyAlignment="1" applyProtection="1">
      <alignment horizontal="center" vertical="center"/>
      <protection hidden="1"/>
    </xf>
    <xf numFmtId="0" fontId="7" fillId="5" borderId="34" xfId="0" applyFont="1" applyFill="1" applyBorder="1" applyAlignment="1" applyProtection="1">
      <alignment horizontal="center" vertical="center"/>
      <protection hidden="1"/>
    </xf>
    <xf numFmtId="0" fontId="7" fillId="5" borderId="35" xfId="0" applyFont="1" applyFill="1" applyBorder="1" applyAlignment="1" applyProtection="1">
      <alignment horizontal="center" vertical="center"/>
      <protection hidden="1"/>
    </xf>
    <xf numFmtId="0" fontId="16" fillId="18" borderId="0" xfId="0" applyFont="1" applyFill="1" applyAlignment="1" applyProtection="1">
      <alignment horizontal="center" vertical="center"/>
      <protection hidden="1"/>
    </xf>
    <xf numFmtId="0" fontId="16" fillId="7" borderId="0" xfId="0" applyFont="1" applyFill="1" applyAlignment="1" applyProtection="1">
      <alignment horizontal="center" vertical="center" textRotation="90"/>
      <protection hidden="1"/>
    </xf>
    <xf numFmtId="0" fontId="16" fillId="10" borderId="0" xfId="0" applyFont="1" applyFill="1" applyAlignment="1" applyProtection="1">
      <alignment horizontal="center" vertical="center"/>
      <protection hidden="1"/>
    </xf>
    <xf numFmtId="0" fontId="16" fillId="2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left"/>
      <protection hidden="1"/>
    </xf>
    <xf numFmtId="0" fontId="16" fillId="22" borderId="0" xfId="0" applyFont="1" applyFill="1" applyAlignment="1" applyProtection="1">
      <alignment horizontal="center" vertical="center"/>
      <protection locked="0" hidden="1"/>
    </xf>
    <xf numFmtId="0" fontId="6" fillId="21" borderId="8" xfId="0" applyFont="1" applyFill="1" applyBorder="1" applyAlignment="1" applyProtection="1">
      <alignment horizontal="left" vertical="center"/>
      <protection locked="0" hidden="1"/>
    </xf>
    <xf numFmtId="0" fontId="7" fillId="11" borderId="33" xfId="0" applyFont="1" applyFill="1" applyBorder="1" applyAlignment="1" applyProtection="1">
      <alignment horizontal="center" vertical="center"/>
      <protection hidden="1"/>
    </xf>
    <xf numFmtId="0" fontId="7" fillId="11" borderId="34" xfId="0" applyFont="1" applyFill="1" applyBorder="1" applyAlignment="1" applyProtection="1">
      <alignment horizontal="center" vertical="center"/>
      <protection hidden="1"/>
    </xf>
    <xf numFmtId="0" fontId="7" fillId="11" borderId="35" xfId="0" applyFont="1" applyFill="1" applyBorder="1" applyAlignment="1" applyProtection="1">
      <alignment horizontal="center" vertical="center"/>
      <protection hidden="1"/>
    </xf>
    <xf numFmtId="0" fontId="7" fillId="2" borderId="33" xfId="0" applyFont="1" applyFill="1" applyBorder="1" applyAlignment="1" applyProtection="1">
      <alignment horizontal="center" vertical="center"/>
      <protection hidden="1"/>
    </xf>
    <xf numFmtId="0" fontId="11" fillId="0" borderId="34" xfId="0" applyFont="1" applyBorder="1" applyAlignment="1" applyProtection="1">
      <alignment horizontal="center" vertical="center"/>
      <protection hidden="1"/>
    </xf>
    <xf numFmtId="0" fontId="11" fillId="0" borderId="35" xfId="0" applyFont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7" fillId="2" borderId="51" xfId="0" applyFont="1" applyFill="1" applyBorder="1" applyAlignment="1" applyProtection="1">
      <alignment horizontal="left" vertical="center"/>
      <protection hidden="1"/>
    </xf>
    <xf numFmtId="0" fontId="6" fillId="21" borderId="59" xfId="0" applyFont="1" applyFill="1" applyBorder="1" applyAlignment="1" applyProtection="1">
      <alignment horizontal="left" vertical="center"/>
      <protection locked="0" hidden="1"/>
    </xf>
    <xf numFmtId="0" fontId="6" fillId="21" borderId="69" xfId="0" applyFont="1" applyFill="1" applyBorder="1" applyAlignment="1" applyProtection="1">
      <alignment horizontal="left" vertical="center"/>
      <protection locked="0" hidden="1"/>
    </xf>
    <xf numFmtId="0" fontId="6" fillId="21" borderId="70" xfId="0" applyFont="1" applyFill="1" applyBorder="1" applyAlignment="1" applyProtection="1">
      <alignment horizontal="left" vertical="center"/>
      <protection locked="0" hidden="1"/>
    </xf>
    <xf numFmtId="20" fontId="31" fillId="2" borderId="33" xfId="0" applyNumberFormat="1" applyFont="1" applyFill="1" applyBorder="1" applyAlignment="1" applyProtection="1">
      <alignment horizontal="center" vertical="center"/>
      <protection hidden="1"/>
    </xf>
    <xf numFmtId="20" fontId="31" fillId="2" borderId="34" xfId="0" applyNumberFormat="1" applyFont="1" applyFill="1" applyBorder="1" applyAlignment="1" applyProtection="1">
      <alignment horizontal="center" vertical="center"/>
      <protection hidden="1"/>
    </xf>
    <xf numFmtId="20" fontId="31" fillId="2" borderId="35" xfId="0" applyNumberFormat="1" applyFont="1" applyFill="1" applyBorder="1" applyAlignment="1" applyProtection="1">
      <alignment horizontal="center" vertical="center"/>
      <protection hidden="1"/>
    </xf>
    <xf numFmtId="0" fontId="7" fillId="2" borderId="33" xfId="0" applyFont="1" applyFill="1" applyBorder="1" applyAlignment="1" applyProtection="1">
      <alignment horizontal="center" wrapText="1"/>
      <protection hidden="1"/>
    </xf>
    <xf numFmtId="0" fontId="7" fillId="2" borderId="34" xfId="0" applyFont="1" applyFill="1" applyBorder="1" applyAlignment="1" applyProtection="1">
      <alignment horizontal="center" wrapText="1"/>
      <protection hidden="1"/>
    </xf>
    <xf numFmtId="0" fontId="7" fillId="2" borderId="35" xfId="0" applyFont="1" applyFill="1" applyBorder="1" applyAlignment="1" applyProtection="1">
      <alignment horizontal="center" wrapText="1"/>
      <protection hidden="1"/>
    </xf>
    <xf numFmtId="0" fontId="11" fillId="0" borderId="34" xfId="0" applyFont="1" applyBorder="1" applyAlignment="1" applyProtection="1">
      <protection hidden="1"/>
    </xf>
    <xf numFmtId="0" fontId="11" fillId="0" borderId="35" xfId="0" applyFont="1" applyBorder="1" applyAlignment="1" applyProtection="1">
      <protection hidden="1"/>
    </xf>
    <xf numFmtId="0" fontId="7" fillId="3" borderId="33" xfId="0" applyFont="1" applyFill="1" applyBorder="1" applyAlignment="1" applyProtection="1">
      <alignment horizontal="center" vertical="center"/>
      <protection hidden="1"/>
    </xf>
    <xf numFmtId="0" fontId="7" fillId="3" borderId="34" xfId="0" applyFont="1" applyFill="1" applyBorder="1" applyAlignment="1" applyProtection="1">
      <alignment horizontal="center" vertical="center"/>
      <protection hidden="1"/>
    </xf>
    <xf numFmtId="0" fontId="7" fillId="3" borderId="35" xfId="0" applyFont="1" applyFill="1" applyBorder="1" applyAlignment="1" applyProtection="1">
      <alignment horizontal="center" vertical="center"/>
      <protection hidden="1"/>
    </xf>
    <xf numFmtId="0" fontId="16" fillId="3" borderId="0" xfId="0" applyFont="1" applyFill="1" applyAlignment="1" applyProtection="1">
      <alignment horizontal="center" vertical="center" textRotation="90"/>
      <protection hidden="1"/>
    </xf>
    <xf numFmtId="0" fontId="5" fillId="2" borderId="33" xfId="0" applyFont="1" applyFill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hidden="1"/>
    </xf>
    <xf numFmtId="0" fontId="6" fillId="0" borderId="35" xfId="0" applyFont="1" applyBorder="1" applyAlignment="1" applyProtection="1">
      <alignment horizontal="center" vertical="center"/>
      <protection hidden="1"/>
    </xf>
    <xf numFmtId="0" fontId="5" fillId="10" borderId="33" xfId="0" applyFont="1" applyFill="1" applyBorder="1" applyAlignment="1" applyProtection="1">
      <alignment horizontal="center" vertical="center" wrapText="1"/>
      <protection hidden="1"/>
    </xf>
    <xf numFmtId="0" fontId="5" fillId="10" borderId="34" xfId="0" applyFont="1" applyFill="1" applyBorder="1" applyAlignment="1" applyProtection="1">
      <alignment horizontal="center" vertical="center" wrapText="1"/>
      <protection hidden="1"/>
    </xf>
    <xf numFmtId="0" fontId="5" fillId="10" borderId="35" xfId="0" applyFont="1" applyFill="1" applyBorder="1" applyAlignment="1" applyProtection="1">
      <alignment horizontal="center" vertical="center" wrapText="1"/>
      <protection hidden="1"/>
    </xf>
    <xf numFmtId="0" fontId="5" fillId="22" borderId="33" xfId="0" applyFont="1" applyFill="1" applyBorder="1" applyAlignment="1" applyProtection="1">
      <alignment horizontal="center" vertical="center" wrapText="1"/>
      <protection hidden="1"/>
    </xf>
    <xf numFmtId="0" fontId="5" fillId="22" borderId="34" xfId="0" applyFont="1" applyFill="1" applyBorder="1" applyAlignment="1" applyProtection="1">
      <alignment horizontal="center" vertical="center" wrapText="1"/>
      <protection hidden="1"/>
    </xf>
    <xf numFmtId="0" fontId="5" fillId="22" borderId="35" xfId="0" applyFont="1" applyFill="1" applyBorder="1" applyAlignment="1" applyProtection="1">
      <alignment horizontal="center" vertical="center" wrapText="1"/>
      <protection hidden="1"/>
    </xf>
    <xf numFmtId="0" fontId="5" fillId="11" borderId="33" xfId="0" applyFont="1" applyFill="1" applyBorder="1" applyAlignment="1" applyProtection="1">
      <alignment horizontal="center" vertical="center" wrapText="1"/>
      <protection hidden="1"/>
    </xf>
    <xf numFmtId="0" fontId="5" fillId="11" borderId="34" xfId="0" applyFont="1" applyFill="1" applyBorder="1" applyAlignment="1" applyProtection="1">
      <alignment horizontal="center" vertical="center" wrapText="1"/>
      <protection hidden="1"/>
    </xf>
    <xf numFmtId="0" fontId="5" fillId="11" borderId="35" xfId="0" applyFont="1" applyFill="1" applyBorder="1" applyAlignment="1" applyProtection="1">
      <alignment horizontal="center" vertical="center" wrapText="1"/>
      <protection hidden="1"/>
    </xf>
    <xf numFmtId="0" fontId="5" fillId="12" borderId="33" xfId="0" applyFont="1" applyFill="1" applyBorder="1" applyAlignment="1" applyProtection="1">
      <alignment horizontal="center" vertical="center" wrapText="1"/>
      <protection hidden="1"/>
    </xf>
    <xf numFmtId="0" fontId="5" fillId="12" borderId="34" xfId="0" applyFont="1" applyFill="1" applyBorder="1" applyAlignment="1" applyProtection="1">
      <alignment horizontal="center" vertical="center" wrapText="1"/>
      <protection hidden="1"/>
    </xf>
    <xf numFmtId="0" fontId="5" fillId="12" borderId="35" xfId="0" applyFont="1" applyFill="1" applyBorder="1" applyAlignment="1" applyProtection="1">
      <alignment horizontal="center" vertical="center" wrapText="1"/>
      <protection hidden="1"/>
    </xf>
    <xf numFmtId="0" fontId="5" fillId="18" borderId="33" xfId="0" applyFont="1" applyFill="1" applyBorder="1" applyAlignment="1" applyProtection="1">
      <alignment horizontal="center" vertical="center" wrapText="1"/>
      <protection hidden="1"/>
    </xf>
    <xf numFmtId="0" fontId="5" fillId="18" borderId="34" xfId="0" applyFont="1" applyFill="1" applyBorder="1" applyAlignment="1" applyProtection="1">
      <alignment horizontal="center" vertical="center" wrapText="1"/>
      <protection hidden="1"/>
    </xf>
    <xf numFmtId="0" fontId="5" fillId="18" borderId="35" xfId="0" applyFont="1" applyFill="1" applyBorder="1" applyAlignment="1" applyProtection="1">
      <alignment horizontal="center" vertical="center" wrapText="1"/>
      <protection hidden="1"/>
    </xf>
    <xf numFmtId="0" fontId="5" fillId="13" borderId="6" xfId="0" applyFont="1" applyFill="1" applyBorder="1" applyAlignment="1" applyProtection="1">
      <alignment horizontal="center" vertical="center" textRotation="90"/>
      <protection hidden="1"/>
    </xf>
    <xf numFmtId="0" fontId="5" fillId="13" borderId="12" xfId="0" applyFont="1" applyFill="1" applyBorder="1" applyAlignment="1" applyProtection="1">
      <alignment horizontal="center" vertical="center" textRotation="90"/>
      <protection hidden="1"/>
    </xf>
    <xf numFmtId="0" fontId="5" fillId="13" borderId="21" xfId="0" applyFont="1" applyFill="1" applyBorder="1" applyAlignment="1" applyProtection="1">
      <alignment horizontal="center" vertical="center" textRotation="90"/>
      <protection hidden="1"/>
    </xf>
    <xf numFmtId="0" fontId="5" fillId="2" borderId="33" xfId="0" applyFont="1" applyFill="1" applyBorder="1" applyAlignment="1" applyProtection="1">
      <alignment horizontal="center" wrapText="1"/>
      <protection hidden="1"/>
    </xf>
    <xf numFmtId="0" fontId="5" fillId="2" borderId="34" xfId="0" applyFont="1" applyFill="1" applyBorder="1" applyAlignment="1" applyProtection="1">
      <alignment horizontal="center" wrapText="1"/>
      <protection hidden="1"/>
    </xf>
    <xf numFmtId="0" fontId="5" fillId="2" borderId="35" xfId="0" applyFont="1" applyFill="1" applyBorder="1" applyAlignment="1" applyProtection="1">
      <alignment horizontal="center" wrapText="1"/>
      <protection hidden="1"/>
    </xf>
    <xf numFmtId="20" fontId="31" fillId="2" borderId="33" xfId="0" applyNumberFormat="1" applyFont="1" applyFill="1" applyBorder="1" applyAlignment="1" applyProtection="1">
      <alignment horizontal="center" vertical="center" wrapText="1"/>
      <protection hidden="1"/>
    </xf>
    <xf numFmtId="0" fontId="20" fillId="11" borderId="0" xfId="0" applyFont="1" applyFill="1" applyAlignment="1" applyProtection="1">
      <alignment horizontal="center" vertical="center" textRotation="90"/>
      <protection hidden="1"/>
    </xf>
    <xf numFmtId="0" fontId="20" fillId="12" borderId="0" xfId="0" applyFont="1" applyFill="1" applyAlignment="1" applyProtection="1">
      <alignment horizontal="center" vertical="center" textRotation="90"/>
      <protection hidden="1"/>
    </xf>
    <xf numFmtId="0" fontId="20" fillId="8" borderId="0" xfId="1" applyFont="1" applyFill="1" applyAlignment="1" applyProtection="1">
      <alignment horizontal="center" vertical="center" wrapText="1"/>
      <protection hidden="1"/>
    </xf>
    <xf numFmtId="0" fontId="18" fillId="8" borderId="0" xfId="1" applyFont="1" applyFill="1" applyAlignment="1" applyProtection="1">
      <alignment horizontal="center" vertical="center" wrapText="1"/>
      <protection hidden="1"/>
    </xf>
    <xf numFmtId="0" fontId="18" fillId="8" borderId="0" xfId="1" applyFont="1" applyFill="1" applyAlignment="1" applyProtection="1">
      <alignment vertical="center" wrapText="1"/>
      <protection hidden="1"/>
    </xf>
    <xf numFmtId="20" fontId="34" fillId="0" borderId="0" xfId="1" applyNumberFormat="1" applyFont="1" applyAlignment="1" applyProtection="1">
      <alignment horizontal="right" vertical="center"/>
      <protection hidden="1"/>
    </xf>
    <xf numFmtId="0" fontId="20" fillId="18" borderId="0" xfId="0" applyFont="1" applyFill="1" applyAlignment="1" applyProtection="1">
      <alignment horizontal="center" vertical="center"/>
      <protection hidden="1"/>
    </xf>
    <xf numFmtId="0" fontId="20" fillId="10" borderId="0" xfId="0" applyFont="1" applyFill="1" applyAlignment="1" applyProtection="1">
      <alignment horizontal="center" vertical="center"/>
      <protection hidden="1"/>
    </xf>
    <xf numFmtId="0" fontId="20" fillId="22" borderId="0" xfId="0" applyFont="1" applyFill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 wrapText="1"/>
      <protection hidden="1"/>
    </xf>
    <xf numFmtId="0" fontId="18" fillId="0" borderId="0" xfId="1" applyFont="1" applyAlignment="1" applyProtection="1">
      <alignment horizontal="center" vertical="center" wrapText="1"/>
      <protection hidden="1"/>
    </xf>
    <xf numFmtId="0" fontId="18" fillId="0" borderId="0" xfId="1" applyFont="1" applyAlignment="1" applyProtection="1">
      <alignment vertical="center" wrapText="1"/>
      <protection hidden="1"/>
    </xf>
  </cellXfs>
  <cellStyles count="3">
    <cellStyle name="Normal" xfId="0" builtinId="0"/>
    <cellStyle name="Normal 2" xfId="1" xr:uid="{00000000-0005-0000-0000-000000000000}"/>
    <cellStyle name="Percent 2" xfId="2" xr:uid="{00000000-0005-0000-0000-000001000000}"/>
  </cellStyles>
  <dxfs count="0"/>
  <tableStyles count="0" defaultTableStyle="TableStyleMedium9" defaultPivotStyle="PivotStyleLight16"/>
  <colors>
    <mruColors>
      <color rgb="FFE7FFFF"/>
      <color rgb="FFCCFFFF"/>
      <color rgb="FFFFFF99"/>
      <color rgb="FFCCCCFF"/>
      <color rgb="FFCCFFCC"/>
      <color rgb="FFE6E6FF"/>
      <color rgb="FFD9FFD9"/>
      <color rgb="FFFFD5AB"/>
      <color rgb="FFCDCDCD"/>
      <color rgb="FFDCD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10" dropStyle="combo" dx="16" fmlaLink="'Raw data &amp; Hourly Summary'!$BQ$128" fmlaRange="'Raw data &amp; Hourly Summary'!$BQ$139:$BQ$166" sel="28" val="18"/>
</file>

<file path=xl/ctrlProps/ctrlProp2.xml><?xml version="1.0" encoding="utf-8"?>
<formControlPr xmlns="http://schemas.microsoft.com/office/spreadsheetml/2009/9/main" objectType="Drop" dropLines="10" dropStyle="combo" dx="16" fmlaLink="'Raw data &amp; Hourly Summary'!$BR$128" fmlaRange="'Raw data &amp; Hourly Summary'!$BR$139:$BR$142" sel="4" val="0"/>
</file>

<file path=xl/ctrlProps/ctrlProp3.xml><?xml version="1.0" encoding="utf-8"?>
<formControlPr xmlns="http://schemas.microsoft.com/office/spreadsheetml/2009/9/main" objectType="Drop" dropLines="10" dropStyle="combo" dx="16" fmlaLink="'Raw data &amp; Hourly Summary'!$BQ$128" fmlaRange="'Raw data &amp; Hourly Summary'!$BQ$139:$BQ$166" sel="28" val="8"/>
</file>

<file path=xl/ctrlProps/ctrlProp4.xml><?xml version="1.0" encoding="utf-8"?>
<formControlPr xmlns="http://schemas.microsoft.com/office/spreadsheetml/2009/9/main" objectType="Drop" dropLines="10" dropStyle="combo" dx="16" fmlaLink="'Raw data &amp; Hourly Summary'!$BR$128" fmlaRange="'Raw data &amp; Hourly Summary'!$BR$139:$BR$142" sel="4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438133</xdr:colOff>
      <xdr:row>3</xdr:row>
      <xdr:rowOff>178632</xdr:rowOff>
    </xdr:from>
    <xdr:to>
      <xdr:col>35</xdr:col>
      <xdr:colOff>323861</xdr:colOff>
      <xdr:row>7</xdr:row>
      <xdr:rowOff>201010</xdr:rowOff>
    </xdr:to>
    <xdr:pic>
      <xdr:nvPicPr>
        <xdr:cNvPr id="10400" name="Picture 177">
          <a:extLst>
            <a:ext uri="{FF2B5EF4-FFF2-40B4-BE49-F238E27FC236}">
              <a16:creationId xmlns:a16="http://schemas.microsoft.com/office/drawing/2014/main" id="{00000000-0008-0000-0000-0000A0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807526" y="1185561"/>
          <a:ext cx="3396371" cy="1274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265152</xdr:colOff>
      <xdr:row>1</xdr:row>
      <xdr:rowOff>31297</xdr:rowOff>
    </xdr:from>
    <xdr:to>
      <xdr:col>26</xdr:col>
      <xdr:colOff>21774</xdr:colOff>
      <xdr:row>3</xdr:row>
      <xdr:rowOff>98494</xdr:rowOff>
    </xdr:to>
    <xdr:grpSp>
      <xdr:nvGrpSpPr>
        <xdr:cNvPr id="135" name="Group 24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pSpPr>
          <a:grpSpLocks/>
        </xdr:cNvGrpSpPr>
      </xdr:nvGrpSpPr>
      <xdr:grpSpPr bwMode="auto">
        <a:xfrm>
          <a:off x="14198866" y="351972"/>
          <a:ext cx="337194" cy="762522"/>
          <a:chOff x="1004" y="16"/>
          <a:chExt cx="33" cy="76"/>
        </a:xfrm>
      </xdr:grpSpPr>
      <xdr:sp macro="" textlink="">
        <xdr:nvSpPr>
          <xdr:cNvPr id="197" name="Text Box 240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" y="36"/>
            <a:ext cx="33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AU" sz="2200" b="0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198" name="Line 239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8" y="16"/>
            <a:ext cx="0" cy="7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stealth" w="lg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81643</xdr:colOff>
      <xdr:row>1</xdr:row>
      <xdr:rowOff>368464</xdr:rowOff>
    </xdr:from>
    <xdr:to>
      <xdr:col>25</xdr:col>
      <xdr:colOff>507027</xdr:colOff>
      <xdr:row>10</xdr:row>
      <xdr:rowOff>332098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535104" y="689139"/>
          <a:ext cx="3908812" cy="2884634"/>
          <a:chOff x="10599964" y="681428"/>
          <a:chExt cx="3936027" cy="2847871"/>
        </a:xfrm>
      </xdr:grpSpPr>
      <xdr:sp macro="" textlink="">
        <xdr:nvSpPr>
          <xdr:cNvPr id="137" name="Line 2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713314" y="2110181"/>
            <a:ext cx="822677" cy="353784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3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230961" y="967180"/>
            <a:ext cx="1104982" cy="49324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4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847215" y="967179"/>
            <a:ext cx="1135100" cy="521989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5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599964" y="2078439"/>
            <a:ext cx="831086" cy="399132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6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3713315" y="2463965"/>
            <a:ext cx="811139" cy="100937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10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0702658" y="2465733"/>
            <a:ext cx="698449" cy="106356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11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227572" y="722250"/>
            <a:ext cx="0" cy="752327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12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1988349" y="735859"/>
            <a:ext cx="0" cy="761999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5" name="Group 179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12055504" y="988780"/>
            <a:ext cx="1104338" cy="500386"/>
            <a:chOff x="7458073" y="2437547"/>
            <a:chExt cx="1103943" cy="426687"/>
          </a:xfrm>
        </xdr:grpSpPr>
        <xdr:grpSp>
          <xdr:nvGrpSpPr>
            <xdr:cNvPr id="189" name="Group 90">
              <a:extLst>
                <a:ext uri="{FF2B5EF4-FFF2-40B4-BE49-F238E27FC236}">
                  <a16:creationId xmlns:a16="http://schemas.microsoft.com/office/drawing/2014/main" id="{00000000-0008-0000-0000-0000B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458073" y="2437547"/>
              <a:ext cx="1103943" cy="426687"/>
              <a:chOff x="771" y="250"/>
              <a:chExt cx="114" cy="45"/>
            </a:xfrm>
          </xdr:grpSpPr>
          <xdr:sp macro="" textlink="">
            <xdr:nvSpPr>
              <xdr:cNvPr id="191" name="Line 68">
                <a:extLst>
                  <a:ext uri="{FF2B5EF4-FFF2-40B4-BE49-F238E27FC236}">
                    <a16:creationId xmlns:a16="http://schemas.microsoft.com/office/drawing/2014/main" id="{00000000-0008-0000-0000-0000B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802" y="250"/>
                <a:ext cx="20" cy="4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2" name="Line 72">
                <a:extLst>
                  <a:ext uri="{FF2B5EF4-FFF2-40B4-BE49-F238E27FC236}">
                    <a16:creationId xmlns:a16="http://schemas.microsoft.com/office/drawing/2014/main" id="{00000000-0008-0000-0000-0000C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789" y="25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3" name="Line 73">
                <a:extLst>
                  <a:ext uri="{FF2B5EF4-FFF2-40B4-BE49-F238E27FC236}">
                    <a16:creationId xmlns:a16="http://schemas.microsoft.com/office/drawing/2014/main" id="{00000000-0008-0000-0000-0000C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71" y="253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4" name="Line 78">
                <a:extLst>
                  <a:ext uri="{FF2B5EF4-FFF2-40B4-BE49-F238E27FC236}">
                    <a16:creationId xmlns:a16="http://schemas.microsoft.com/office/drawing/2014/main" id="{00000000-0008-0000-0000-0000C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865" y="25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5" name="Line 85">
                <a:extLst>
                  <a:ext uri="{FF2B5EF4-FFF2-40B4-BE49-F238E27FC236}">
                    <a16:creationId xmlns:a16="http://schemas.microsoft.com/office/drawing/2014/main" id="{00000000-0008-0000-0000-0000C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65" y="253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90" name="Line 68">
              <a:extLst>
                <a:ext uri="{FF2B5EF4-FFF2-40B4-BE49-F238E27FC236}">
                  <a16:creationId xmlns:a16="http://schemas.microsoft.com/office/drawing/2014/main" id="{00000000-0008-0000-0000-0000BE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062603" y="2443714"/>
              <a:ext cx="169727" cy="40720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6" name="Line 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2094429" y="2748004"/>
            <a:ext cx="473886" cy="75331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Line 6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2574616" y="2768321"/>
            <a:ext cx="509285" cy="71862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8" name="Group 199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GrpSpPr>
            <a:grpSpLocks/>
          </xdr:cNvGrpSpPr>
        </xdr:nvGrpSpPr>
        <xdr:grpSpPr bwMode="auto">
          <a:xfrm rot="10978960">
            <a:off x="12875167" y="2664743"/>
            <a:ext cx="1019826" cy="579902"/>
            <a:chOff x="7731426" y="975560"/>
            <a:chExt cx="953672" cy="549020"/>
          </a:xfrm>
        </xdr:grpSpPr>
        <xdr:grpSp>
          <xdr:nvGrpSpPr>
            <xdr:cNvPr id="181" name="Group 125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31426" y="1022037"/>
              <a:ext cx="953672" cy="502543"/>
              <a:chOff x="815" y="82"/>
              <a:chExt cx="98" cy="53"/>
            </a:xfrm>
          </xdr:grpSpPr>
          <xdr:sp macro="" textlink="">
            <xdr:nvSpPr>
              <xdr:cNvPr id="183" name="Line 102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48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4" name="Line 103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5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5" name="Line 10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5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6" name="Line 105">
                <a:extLst>
                  <a:ext uri="{FF2B5EF4-FFF2-40B4-BE49-F238E27FC236}">
                    <a16:creationId xmlns:a16="http://schemas.microsoft.com/office/drawing/2014/main" id="{00000000-0008-0000-0000-0000B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5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7" name="Line 106">
                <a:extLst>
                  <a:ext uri="{FF2B5EF4-FFF2-40B4-BE49-F238E27FC236}">
                    <a16:creationId xmlns:a16="http://schemas.microsoft.com/office/drawing/2014/main" id="{00000000-0008-0000-0000-0000B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5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2" name="Line 102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64632" y="975560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9" name="Group 200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GrpSpPr>
            <a:grpSpLocks/>
          </xdr:cNvGrpSpPr>
        </xdr:nvGrpSpPr>
        <xdr:grpSpPr bwMode="auto">
          <a:xfrm rot="14700584">
            <a:off x="11261369" y="2671045"/>
            <a:ext cx="1007313" cy="592469"/>
            <a:chOff x="7763488" y="948487"/>
            <a:chExt cx="953671" cy="554037"/>
          </a:xfrm>
        </xdr:grpSpPr>
        <xdr:grpSp>
          <xdr:nvGrpSpPr>
            <xdr:cNvPr id="173" name="Group 125">
              <a:extLst>
                <a:ext uri="{FF2B5EF4-FFF2-40B4-BE49-F238E27FC236}">
                  <a16:creationId xmlns:a16="http://schemas.microsoft.com/office/drawing/2014/main" id="{00000000-0008-0000-0000-0000AD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8" y="999981"/>
              <a:ext cx="953671" cy="502543"/>
              <a:chOff x="819" y="82"/>
              <a:chExt cx="98" cy="53"/>
            </a:xfrm>
          </xdr:grpSpPr>
          <xdr:sp macro="" textlink="">
            <xdr:nvSpPr>
              <xdr:cNvPr id="175" name="Line 102">
                <a:extLst>
                  <a:ext uri="{FF2B5EF4-FFF2-40B4-BE49-F238E27FC236}">
                    <a16:creationId xmlns:a16="http://schemas.microsoft.com/office/drawing/2014/main" id="{00000000-0008-0000-0000-0000A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6" name="Line 103">
                <a:extLst>
                  <a:ext uri="{FF2B5EF4-FFF2-40B4-BE49-F238E27FC236}">
                    <a16:creationId xmlns:a16="http://schemas.microsoft.com/office/drawing/2014/main" id="{00000000-0008-0000-0000-0000B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7" name="Line 104">
                <a:extLst>
                  <a:ext uri="{FF2B5EF4-FFF2-40B4-BE49-F238E27FC236}">
                    <a16:creationId xmlns:a16="http://schemas.microsoft.com/office/drawing/2014/main" id="{00000000-0008-0000-0000-0000B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8" name="Line 105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9" name="Line 106">
                <a:extLst>
                  <a:ext uri="{FF2B5EF4-FFF2-40B4-BE49-F238E27FC236}">
                    <a16:creationId xmlns:a16="http://schemas.microsoft.com/office/drawing/2014/main" id="{00000000-0008-0000-0000-0000B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4" name="Line 102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0" name="Group 21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GrpSpPr>
            <a:grpSpLocks/>
          </xdr:cNvGrpSpPr>
        </xdr:nvGrpSpPr>
        <xdr:grpSpPr bwMode="auto">
          <a:xfrm rot="19830901">
            <a:off x="10872704" y="1509533"/>
            <a:ext cx="1019826" cy="585200"/>
            <a:chOff x="7763487" y="948487"/>
            <a:chExt cx="953671" cy="554036"/>
          </a:xfrm>
        </xdr:grpSpPr>
        <xdr:grpSp>
          <xdr:nvGrpSpPr>
            <xdr:cNvPr id="165" name="Group 125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7" y="999980"/>
              <a:ext cx="953671" cy="502543"/>
              <a:chOff x="819" y="82"/>
              <a:chExt cx="98" cy="53"/>
            </a:xfrm>
          </xdr:grpSpPr>
          <xdr:sp macro="" textlink="">
            <xdr:nvSpPr>
              <xdr:cNvPr id="167" name="Line 102">
                <a:extLst>
                  <a:ext uri="{FF2B5EF4-FFF2-40B4-BE49-F238E27FC236}">
                    <a16:creationId xmlns:a16="http://schemas.microsoft.com/office/drawing/2014/main" id="{00000000-0008-0000-0000-0000A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8" name="Line 103">
                <a:extLst>
                  <a:ext uri="{FF2B5EF4-FFF2-40B4-BE49-F238E27FC236}">
                    <a16:creationId xmlns:a16="http://schemas.microsoft.com/office/drawing/2014/main" id="{00000000-0008-0000-0000-0000A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9" name="Line 104">
                <a:extLst>
                  <a:ext uri="{FF2B5EF4-FFF2-40B4-BE49-F238E27FC236}">
                    <a16:creationId xmlns:a16="http://schemas.microsoft.com/office/drawing/2014/main" id="{00000000-0008-0000-0000-0000A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0" name="Line 105">
                <a:extLst>
                  <a:ext uri="{FF2B5EF4-FFF2-40B4-BE49-F238E27FC236}">
                    <a16:creationId xmlns:a16="http://schemas.microsoft.com/office/drawing/2014/main" id="{00000000-0008-0000-0000-0000A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1" name="Line 106">
                <a:extLst>
                  <a:ext uri="{FF2B5EF4-FFF2-40B4-BE49-F238E27FC236}">
                    <a16:creationId xmlns:a16="http://schemas.microsoft.com/office/drawing/2014/main" id="{00000000-0008-0000-0000-0000A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66" name="Line 102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1" name="Group 219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GrpSpPr>
            <a:grpSpLocks/>
          </xdr:cNvGrpSpPr>
        </xdr:nvGrpSpPr>
        <xdr:grpSpPr bwMode="auto">
          <a:xfrm rot="6385603">
            <a:off x="13297615" y="1525044"/>
            <a:ext cx="1007313" cy="592474"/>
            <a:chOff x="7763480" y="948487"/>
            <a:chExt cx="953670" cy="554041"/>
          </a:xfrm>
        </xdr:grpSpPr>
        <xdr:grpSp>
          <xdr:nvGrpSpPr>
            <xdr:cNvPr id="157" name="Group 125">
              <a:extLst>
                <a:ext uri="{FF2B5EF4-FFF2-40B4-BE49-F238E27FC236}">
                  <a16:creationId xmlns:a16="http://schemas.microsoft.com/office/drawing/2014/main" id="{00000000-0008-0000-0000-00009D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0" y="999985"/>
              <a:ext cx="953670" cy="502543"/>
              <a:chOff x="819" y="82"/>
              <a:chExt cx="98" cy="53"/>
            </a:xfrm>
          </xdr:grpSpPr>
          <xdr:sp macro="" textlink="">
            <xdr:nvSpPr>
              <xdr:cNvPr id="159" name="Line 102">
                <a:extLst>
                  <a:ext uri="{FF2B5EF4-FFF2-40B4-BE49-F238E27FC236}">
                    <a16:creationId xmlns:a16="http://schemas.microsoft.com/office/drawing/2014/main" id="{00000000-0008-0000-0000-00009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0" name="Line 103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1" name="Line 104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2" name="Line 105">
                <a:extLst>
                  <a:ext uri="{FF2B5EF4-FFF2-40B4-BE49-F238E27FC236}">
                    <a16:creationId xmlns:a16="http://schemas.microsoft.com/office/drawing/2014/main" id="{00000000-0008-0000-0000-0000A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3" name="Line 106">
                <a:extLst>
                  <a:ext uri="{FF2B5EF4-FFF2-40B4-BE49-F238E27FC236}">
                    <a16:creationId xmlns:a16="http://schemas.microsoft.com/office/drawing/2014/main" id="{00000000-0008-0000-0000-0000A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58" name="Line 102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/>
        </xdr:nvSpPr>
        <xdr:spPr bwMode="auto">
          <a:xfrm rot="17628020">
            <a:off x="10427826" y="1458587"/>
            <a:ext cx="1200637" cy="3617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20  19  18  17</a:t>
            </a:r>
          </a:p>
        </xdr:txBody>
      </xdr:sp>
      <xdr:sp macro="" textlink="">
        <xdr:nvSpPr>
          <xdr:cNvPr id="153" name="Rectangle 152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 bwMode="auto">
          <a:xfrm rot="1750960">
            <a:off x="11106825" y="3107520"/>
            <a:ext cx="911599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1   2   3   4</a:t>
            </a:r>
          </a:p>
        </xdr:txBody>
      </xdr:sp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 bwMode="auto">
          <a:xfrm rot="19800000">
            <a:off x="13130135" y="3044649"/>
            <a:ext cx="1007528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5   6   7   8</a:t>
            </a:r>
          </a:p>
        </xdr:txBody>
      </xdr:sp>
      <xdr:sp macro="" textlink="">
        <xdr:nvSpPr>
          <xdr:cNvPr id="155" name="Rectangle 154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/>
        </xdr:nvSpPr>
        <xdr:spPr bwMode="auto">
          <a:xfrm rot="4171756">
            <a:off x="13609566" y="1485792"/>
            <a:ext cx="1088168" cy="3617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12  11  10  9</a:t>
            </a:r>
          </a:p>
        </xdr:txBody>
      </xdr:sp>
      <xdr:sp macro="" textlink="">
        <xdr:nvSpPr>
          <xdr:cNvPr id="156" name="Rectangle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 bwMode="auto">
          <a:xfrm>
            <a:off x="12042322" y="681428"/>
            <a:ext cx="1156606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16  15  14  13</a:t>
            </a:r>
          </a:p>
        </xdr:txBody>
      </xdr:sp>
    </xdr:grpSp>
    <xdr:clientData/>
  </xdr:twoCellAnchor>
  <xdr:twoCellAnchor editAs="oneCell">
    <xdr:from>
      <xdr:col>29</xdr:col>
      <xdr:colOff>438133</xdr:colOff>
      <xdr:row>93</xdr:row>
      <xdr:rowOff>178632</xdr:rowOff>
    </xdr:from>
    <xdr:to>
      <xdr:col>35</xdr:col>
      <xdr:colOff>323861</xdr:colOff>
      <xdr:row>97</xdr:row>
      <xdr:rowOff>201010</xdr:rowOff>
    </xdr:to>
    <xdr:pic>
      <xdr:nvPicPr>
        <xdr:cNvPr id="265" name="Picture 177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807526" y="31393418"/>
          <a:ext cx="3396371" cy="1274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265152</xdr:colOff>
      <xdr:row>91</xdr:row>
      <xdr:rowOff>31297</xdr:rowOff>
    </xdr:from>
    <xdr:to>
      <xdr:col>26</xdr:col>
      <xdr:colOff>21774</xdr:colOff>
      <xdr:row>93</xdr:row>
      <xdr:rowOff>98494</xdr:rowOff>
    </xdr:to>
    <xdr:grpSp>
      <xdr:nvGrpSpPr>
        <xdr:cNvPr id="264" name="Group 24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>
          <a:grpSpLocks/>
        </xdr:cNvGrpSpPr>
      </xdr:nvGrpSpPr>
      <xdr:grpSpPr bwMode="auto">
        <a:xfrm>
          <a:off x="14198866" y="30650543"/>
          <a:ext cx="337194" cy="762522"/>
          <a:chOff x="1004" y="16"/>
          <a:chExt cx="33" cy="76"/>
        </a:xfrm>
      </xdr:grpSpPr>
      <xdr:sp macro="" textlink="">
        <xdr:nvSpPr>
          <xdr:cNvPr id="327" name="Text Box 240">
            <a:extLst>
              <a:ext uri="{FF2B5EF4-FFF2-40B4-BE49-F238E27FC236}">
                <a16:creationId xmlns:a16="http://schemas.microsoft.com/office/drawing/2014/main" id="{00000000-0008-0000-0000-000047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" y="36"/>
            <a:ext cx="33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AU" sz="2200" b="0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328" name="Line 239">
            <a:extLst>
              <a:ext uri="{FF2B5EF4-FFF2-40B4-BE49-F238E27FC236}">
                <a16:creationId xmlns:a16="http://schemas.microsoft.com/office/drawing/2014/main" id="{00000000-0008-0000-0000-00004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8" y="16"/>
            <a:ext cx="0" cy="7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stealth" w="lg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81643</xdr:colOff>
      <xdr:row>91</xdr:row>
      <xdr:rowOff>368464</xdr:rowOff>
    </xdr:from>
    <xdr:to>
      <xdr:col>25</xdr:col>
      <xdr:colOff>507027</xdr:colOff>
      <xdr:row>100</xdr:row>
      <xdr:rowOff>332098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GrpSpPr/>
      </xdr:nvGrpSpPr>
      <xdr:grpSpPr>
        <a:xfrm>
          <a:off x="10535104" y="30987710"/>
          <a:ext cx="3908812" cy="2884634"/>
          <a:chOff x="10599964" y="681428"/>
          <a:chExt cx="3936027" cy="2847871"/>
        </a:xfrm>
      </xdr:grpSpPr>
      <xdr:sp macro="" textlink="">
        <xdr:nvSpPr>
          <xdr:cNvPr id="330" name="Line 2">
            <a:extLst>
              <a:ext uri="{FF2B5EF4-FFF2-40B4-BE49-F238E27FC236}">
                <a16:creationId xmlns:a16="http://schemas.microsoft.com/office/drawing/2014/main" id="{00000000-0008-0000-0000-00004A01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713314" y="2110181"/>
            <a:ext cx="822677" cy="353784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1" name="Line 3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230961" y="967180"/>
            <a:ext cx="1104982" cy="49324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2" name="Line 4">
            <a:extLst>
              <a:ext uri="{FF2B5EF4-FFF2-40B4-BE49-F238E27FC236}">
                <a16:creationId xmlns:a16="http://schemas.microsoft.com/office/drawing/2014/main" id="{00000000-0008-0000-0000-00004C01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847215" y="967179"/>
            <a:ext cx="1135100" cy="521989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3" name="Line 5">
            <a:extLst>
              <a:ext uri="{FF2B5EF4-FFF2-40B4-BE49-F238E27FC236}">
                <a16:creationId xmlns:a16="http://schemas.microsoft.com/office/drawing/2014/main" id="{00000000-0008-0000-0000-00004D01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599964" y="2078439"/>
            <a:ext cx="831086" cy="399132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4" name="Line 6">
            <a:extLst>
              <a:ext uri="{FF2B5EF4-FFF2-40B4-BE49-F238E27FC236}">
                <a16:creationId xmlns:a16="http://schemas.microsoft.com/office/drawing/2014/main" id="{00000000-0008-0000-0000-00004E01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3713315" y="2463965"/>
            <a:ext cx="811139" cy="100937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5" name="Line 10">
            <a:extLst>
              <a:ext uri="{FF2B5EF4-FFF2-40B4-BE49-F238E27FC236}">
                <a16:creationId xmlns:a16="http://schemas.microsoft.com/office/drawing/2014/main" id="{00000000-0008-0000-0000-00004F01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0702658" y="2465733"/>
            <a:ext cx="698449" cy="106356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6" name="Line 11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227572" y="722250"/>
            <a:ext cx="0" cy="752327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7" name="Line 12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1988349" y="735859"/>
            <a:ext cx="0" cy="761999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38" name="Group 179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GrpSpPr>
            <a:grpSpLocks/>
          </xdr:cNvGrpSpPr>
        </xdr:nvGrpSpPr>
        <xdr:grpSpPr bwMode="auto">
          <a:xfrm rot="10800000">
            <a:off x="12055504" y="988780"/>
            <a:ext cx="1104338" cy="500386"/>
            <a:chOff x="7458073" y="2437547"/>
            <a:chExt cx="1103943" cy="426687"/>
          </a:xfrm>
        </xdr:grpSpPr>
        <xdr:grpSp>
          <xdr:nvGrpSpPr>
            <xdr:cNvPr id="386" name="Group 90">
              <a:extLst>
                <a:ext uri="{FF2B5EF4-FFF2-40B4-BE49-F238E27FC236}">
                  <a16:creationId xmlns:a16="http://schemas.microsoft.com/office/drawing/2014/main" id="{00000000-0008-0000-0000-000082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458073" y="2437547"/>
              <a:ext cx="1103943" cy="426687"/>
              <a:chOff x="771" y="250"/>
              <a:chExt cx="114" cy="45"/>
            </a:xfrm>
          </xdr:grpSpPr>
          <xdr:sp macro="" textlink="">
            <xdr:nvSpPr>
              <xdr:cNvPr id="388" name="Line 68">
                <a:extLst>
                  <a:ext uri="{FF2B5EF4-FFF2-40B4-BE49-F238E27FC236}">
                    <a16:creationId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802" y="250"/>
                <a:ext cx="20" cy="4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9" name="Line 72">
                <a:extLst>
                  <a:ext uri="{FF2B5EF4-FFF2-40B4-BE49-F238E27FC236}">
                    <a16:creationId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789" y="25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90" name="Line 73">
                <a:extLst>
                  <a:ext uri="{FF2B5EF4-FFF2-40B4-BE49-F238E27FC236}">
                    <a16:creationId xmlns:a16="http://schemas.microsoft.com/office/drawing/2014/main" id="{00000000-0008-0000-0000-00008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71" y="253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91" name="Line 78">
                <a:extLst>
                  <a:ext uri="{FF2B5EF4-FFF2-40B4-BE49-F238E27FC236}">
                    <a16:creationId xmlns:a16="http://schemas.microsoft.com/office/drawing/2014/main" id="{00000000-0008-0000-0000-00008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865" y="25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92" name="Line 85">
                <a:extLst>
                  <a:ext uri="{FF2B5EF4-FFF2-40B4-BE49-F238E27FC236}">
                    <a16:creationId xmlns:a16="http://schemas.microsoft.com/office/drawing/2014/main" id="{00000000-0008-0000-0000-00008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65" y="253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87" name="Line 68">
              <a:extLst>
                <a:ext uri="{FF2B5EF4-FFF2-40B4-BE49-F238E27FC236}">
                  <a16:creationId xmlns:a16="http://schemas.microsoft.com/office/drawing/2014/main" id="{00000000-0008-0000-0000-00008301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062603" y="2443714"/>
              <a:ext cx="169727" cy="40720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39" name="Line 6">
            <a:extLst>
              <a:ext uri="{FF2B5EF4-FFF2-40B4-BE49-F238E27FC236}">
                <a16:creationId xmlns:a16="http://schemas.microsoft.com/office/drawing/2014/main" id="{00000000-0008-0000-0000-00005301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2094429" y="2748004"/>
            <a:ext cx="473886" cy="75331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0" name="Line 6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2574616" y="2768321"/>
            <a:ext cx="509285" cy="71862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41" name="Group 199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GrpSpPr>
            <a:grpSpLocks/>
          </xdr:cNvGrpSpPr>
        </xdr:nvGrpSpPr>
        <xdr:grpSpPr bwMode="auto">
          <a:xfrm rot="10978960">
            <a:off x="12875167" y="2664743"/>
            <a:ext cx="1019826" cy="579902"/>
            <a:chOff x="7731426" y="975560"/>
            <a:chExt cx="953672" cy="549020"/>
          </a:xfrm>
        </xdr:grpSpPr>
        <xdr:grpSp>
          <xdr:nvGrpSpPr>
            <xdr:cNvPr id="378" name="Group 125">
              <a:extLst>
                <a:ext uri="{FF2B5EF4-FFF2-40B4-BE49-F238E27FC236}">
                  <a16:creationId xmlns:a16="http://schemas.microsoft.com/office/drawing/2014/main" id="{00000000-0008-0000-0000-00007A01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31426" y="1022037"/>
              <a:ext cx="953672" cy="502543"/>
              <a:chOff x="815" y="82"/>
              <a:chExt cx="98" cy="53"/>
            </a:xfrm>
          </xdr:grpSpPr>
          <xdr:sp macro="" textlink="">
            <xdr:nvSpPr>
              <xdr:cNvPr id="380" name="Line 102">
                <a:extLst>
                  <a:ext uri="{FF2B5EF4-FFF2-40B4-BE49-F238E27FC236}">
                    <a16:creationId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48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1" name="Line 103">
                <a:extLst>
                  <a:ext uri="{FF2B5EF4-FFF2-40B4-BE49-F238E27FC236}">
                    <a16:creationId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5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2" name="Line 104">
                <a:extLst>
                  <a:ext uri="{FF2B5EF4-FFF2-40B4-BE49-F238E27FC236}">
                    <a16:creationId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5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3" name="Line 105">
                <a:extLst>
                  <a:ext uri="{FF2B5EF4-FFF2-40B4-BE49-F238E27FC236}">
                    <a16:creationId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5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84" name="Line 106">
                <a:extLst>
                  <a:ext uri="{FF2B5EF4-FFF2-40B4-BE49-F238E27FC236}">
                    <a16:creationId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5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79" name="Line 102">
              <a:extLst>
                <a:ext uri="{FF2B5EF4-FFF2-40B4-BE49-F238E27FC236}">
                  <a16:creationId xmlns:a16="http://schemas.microsoft.com/office/drawing/2014/main" id="{00000000-0008-0000-0000-00007B01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64632" y="975560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42" name="Group 200">
            <a:extLst>
              <a:ext uri="{FF2B5EF4-FFF2-40B4-BE49-F238E27FC236}">
                <a16:creationId xmlns:a16="http://schemas.microsoft.com/office/drawing/2014/main" id="{00000000-0008-0000-0000-000056010000}"/>
              </a:ext>
            </a:extLst>
          </xdr:cNvPr>
          <xdr:cNvGrpSpPr>
            <a:grpSpLocks/>
          </xdr:cNvGrpSpPr>
        </xdr:nvGrpSpPr>
        <xdr:grpSpPr bwMode="auto">
          <a:xfrm rot="14700584">
            <a:off x="11261369" y="2671045"/>
            <a:ext cx="1007313" cy="592469"/>
            <a:chOff x="7763488" y="948487"/>
            <a:chExt cx="953671" cy="554037"/>
          </a:xfrm>
        </xdr:grpSpPr>
        <xdr:grpSp>
          <xdr:nvGrpSpPr>
            <xdr:cNvPr id="366" name="Group 125">
              <a:extLst>
                <a:ext uri="{FF2B5EF4-FFF2-40B4-BE49-F238E27FC236}">
                  <a16:creationId xmlns:a16="http://schemas.microsoft.com/office/drawing/2014/main" id="{00000000-0008-0000-0000-00006E01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8" y="999981"/>
              <a:ext cx="953671" cy="502543"/>
              <a:chOff x="819" y="82"/>
              <a:chExt cx="98" cy="53"/>
            </a:xfrm>
          </xdr:grpSpPr>
          <xdr:sp macro="" textlink="">
            <xdr:nvSpPr>
              <xdr:cNvPr id="372" name="Line 102">
                <a:extLst>
                  <a:ext uri="{FF2B5EF4-FFF2-40B4-BE49-F238E27FC236}">
                    <a16:creationId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3" name="Line 103">
                <a:extLst>
                  <a:ext uri="{FF2B5EF4-FFF2-40B4-BE49-F238E27FC236}">
                    <a16:creationId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4" name="Line 104">
                <a:extLst>
                  <a:ext uri="{FF2B5EF4-FFF2-40B4-BE49-F238E27FC236}">
                    <a16:creationId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5" name="Line 105">
                <a:extLst>
                  <a:ext uri="{FF2B5EF4-FFF2-40B4-BE49-F238E27FC236}">
                    <a16:creationId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" name="Line 106">
                <a:extLst>
                  <a:ext uri="{FF2B5EF4-FFF2-40B4-BE49-F238E27FC236}">
                    <a16:creationId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71" name="Line 102">
              <a:extLst>
                <a:ext uri="{FF2B5EF4-FFF2-40B4-BE49-F238E27FC236}">
                  <a16:creationId xmlns:a16="http://schemas.microsoft.com/office/drawing/2014/main" id="{00000000-0008-0000-0000-00007301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43" name="Group 210">
            <a:extLst>
              <a:ext uri="{FF2B5EF4-FFF2-40B4-BE49-F238E27FC236}">
                <a16:creationId xmlns:a16="http://schemas.microsoft.com/office/drawing/2014/main" id="{00000000-0008-0000-0000-000057010000}"/>
              </a:ext>
            </a:extLst>
          </xdr:cNvPr>
          <xdr:cNvGrpSpPr>
            <a:grpSpLocks/>
          </xdr:cNvGrpSpPr>
        </xdr:nvGrpSpPr>
        <xdr:grpSpPr bwMode="auto">
          <a:xfrm rot="19830901">
            <a:off x="10872704" y="1509533"/>
            <a:ext cx="1019826" cy="585200"/>
            <a:chOff x="7763487" y="948487"/>
            <a:chExt cx="953671" cy="554036"/>
          </a:xfrm>
        </xdr:grpSpPr>
        <xdr:grpSp>
          <xdr:nvGrpSpPr>
            <xdr:cNvPr id="358" name="Group 125">
              <a:extLst>
                <a:ext uri="{FF2B5EF4-FFF2-40B4-BE49-F238E27FC236}">
                  <a16:creationId xmlns:a16="http://schemas.microsoft.com/office/drawing/2014/main" id="{00000000-0008-0000-0000-00006601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7" y="999980"/>
              <a:ext cx="953671" cy="502543"/>
              <a:chOff x="819" y="82"/>
              <a:chExt cx="98" cy="53"/>
            </a:xfrm>
          </xdr:grpSpPr>
          <xdr:sp macro="" textlink="">
            <xdr:nvSpPr>
              <xdr:cNvPr id="360" name="Line 102">
                <a:extLst>
                  <a:ext uri="{FF2B5EF4-FFF2-40B4-BE49-F238E27FC236}">
                    <a16:creationId xmlns:a16="http://schemas.microsoft.com/office/drawing/2014/main" id="{00000000-0008-0000-0000-00006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61" name="Line 103">
                <a:extLst>
                  <a:ext uri="{FF2B5EF4-FFF2-40B4-BE49-F238E27FC236}">
                    <a16:creationId xmlns:a16="http://schemas.microsoft.com/office/drawing/2014/main" id="{00000000-0008-0000-0000-00006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62" name="Line 104">
                <a:extLst>
                  <a:ext uri="{FF2B5EF4-FFF2-40B4-BE49-F238E27FC236}">
                    <a16:creationId xmlns:a16="http://schemas.microsoft.com/office/drawing/2014/main" id="{00000000-0008-0000-0000-00006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63" name="Line 105">
                <a:extLst>
                  <a:ext uri="{FF2B5EF4-FFF2-40B4-BE49-F238E27FC236}">
                    <a16:creationId xmlns:a16="http://schemas.microsoft.com/office/drawing/2014/main" id="{00000000-0008-0000-0000-00006B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64" name="Line 106">
                <a:extLst>
                  <a:ext uri="{FF2B5EF4-FFF2-40B4-BE49-F238E27FC236}">
                    <a16:creationId xmlns:a16="http://schemas.microsoft.com/office/drawing/2014/main" id="{00000000-0008-0000-0000-00006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59" name="Line 102">
              <a:extLst>
                <a:ext uri="{FF2B5EF4-FFF2-40B4-BE49-F238E27FC236}">
                  <a16:creationId xmlns:a16="http://schemas.microsoft.com/office/drawing/2014/main" id="{00000000-0008-0000-0000-00006701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44" name="Group 219">
            <a:extLst>
              <a:ext uri="{FF2B5EF4-FFF2-40B4-BE49-F238E27FC236}">
                <a16:creationId xmlns:a16="http://schemas.microsoft.com/office/drawing/2014/main" id="{00000000-0008-0000-0000-000058010000}"/>
              </a:ext>
            </a:extLst>
          </xdr:cNvPr>
          <xdr:cNvGrpSpPr>
            <a:grpSpLocks/>
          </xdr:cNvGrpSpPr>
        </xdr:nvGrpSpPr>
        <xdr:grpSpPr bwMode="auto">
          <a:xfrm rot="6385603">
            <a:off x="13297615" y="1525044"/>
            <a:ext cx="1007313" cy="592474"/>
            <a:chOff x="7763480" y="948487"/>
            <a:chExt cx="953670" cy="554041"/>
          </a:xfrm>
        </xdr:grpSpPr>
        <xdr:grpSp>
          <xdr:nvGrpSpPr>
            <xdr:cNvPr id="350" name="Group 125">
              <a:extLst>
                <a:ext uri="{FF2B5EF4-FFF2-40B4-BE49-F238E27FC236}">
                  <a16:creationId xmlns:a16="http://schemas.microsoft.com/office/drawing/2014/main" id="{00000000-0008-0000-0000-00005E01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0" y="999985"/>
              <a:ext cx="953670" cy="502543"/>
              <a:chOff x="819" y="82"/>
              <a:chExt cx="98" cy="53"/>
            </a:xfrm>
          </xdr:grpSpPr>
          <xdr:sp macro="" textlink="">
            <xdr:nvSpPr>
              <xdr:cNvPr id="352" name="Line 102">
                <a:extLst>
                  <a:ext uri="{FF2B5EF4-FFF2-40B4-BE49-F238E27FC236}">
                    <a16:creationId xmlns:a16="http://schemas.microsoft.com/office/drawing/2014/main" id="{00000000-0008-0000-0000-00006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53" name="Line 103">
                <a:extLst>
                  <a:ext uri="{FF2B5EF4-FFF2-40B4-BE49-F238E27FC236}">
                    <a16:creationId xmlns:a16="http://schemas.microsoft.com/office/drawing/2014/main" id="{00000000-0008-0000-0000-00006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54" name="Line 104">
                <a:extLst>
                  <a:ext uri="{FF2B5EF4-FFF2-40B4-BE49-F238E27FC236}">
                    <a16:creationId xmlns:a16="http://schemas.microsoft.com/office/drawing/2014/main" id="{00000000-0008-0000-0000-00006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55" name="Line 105">
                <a:extLst>
                  <a:ext uri="{FF2B5EF4-FFF2-40B4-BE49-F238E27FC236}">
                    <a16:creationId xmlns:a16="http://schemas.microsoft.com/office/drawing/2014/main" id="{00000000-0008-0000-0000-00006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56" name="Line 106">
                <a:extLst>
                  <a:ext uri="{FF2B5EF4-FFF2-40B4-BE49-F238E27FC236}">
                    <a16:creationId xmlns:a16="http://schemas.microsoft.com/office/drawing/2014/main" id="{00000000-0008-0000-0000-00006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51" name="Line 102">
              <a:extLst>
                <a:ext uri="{FF2B5EF4-FFF2-40B4-BE49-F238E27FC236}">
                  <a16:creationId xmlns:a16="http://schemas.microsoft.com/office/drawing/2014/main" id="{00000000-0008-0000-0000-00005F01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45" name="Rectangle 151">
            <a:extLst>
              <a:ext uri="{FF2B5EF4-FFF2-40B4-BE49-F238E27FC236}">
                <a16:creationId xmlns:a16="http://schemas.microsoft.com/office/drawing/2014/main" id="{00000000-0008-0000-0000-000059010000}"/>
              </a:ext>
            </a:extLst>
          </xdr:cNvPr>
          <xdr:cNvSpPr/>
        </xdr:nvSpPr>
        <xdr:spPr bwMode="auto">
          <a:xfrm rot="17628020">
            <a:off x="10427826" y="1458587"/>
            <a:ext cx="1200637" cy="3617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20  19  18  17</a:t>
            </a:r>
          </a:p>
        </xdr:txBody>
      </xdr:sp>
      <xdr:sp macro="" textlink="">
        <xdr:nvSpPr>
          <xdr:cNvPr id="346" name="Rectangle 152">
            <a:extLst>
              <a:ext uri="{FF2B5EF4-FFF2-40B4-BE49-F238E27FC236}">
                <a16:creationId xmlns:a16="http://schemas.microsoft.com/office/drawing/2014/main" id="{00000000-0008-0000-0000-00005A010000}"/>
              </a:ext>
            </a:extLst>
          </xdr:cNvPr>
          <xdr:cNvSpPr/>
        </xdr:nvSpPr>
        <xdr:spPr bwMode="auto">
          <a:xfrm rot="1750960">
            <a:off x="11106825" y="3107520"/>
            <a:ext cx="911599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1   2   3   4</a:t>
            </a:r>
          </a:p>
        </xdr:txBody>
      </xdr:sp>
      <xdr:sp macro="" textlink="">
        <xdr:nvSpPr>
          <xdr:cNvPr id="347" name="Rectangle 153">
            <a:extLst>
              <a:ext uri="{FF2B5EF4-FFF2-40B4-BE49-F238E27FC236}">
                <a16:creationId xmlns:a16="http://schemas.microsoft.com/office/drawing/2014/main" id="{00000000-0008-0000-0000-00005B010000}"/>
              </a:ext>
            </a:extLst>
          </xdr:cNvPr>
          <xdr:cNvSpPr/>
        </xdr:nvSpPr>
        <xdr:spPr bwMode="auto">
          <a:xfrm rot="19800000">
            <a:off x="13130135" y="3044649"/>
            <a:ext cx="1007528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5   6   7   8</a:t>
            </a:r>
          </a:p>
        </xdr:txBody>
      </xdr:sp>
      <xdr:sp macro="" textlink="">
        <xdr:nvSpPr>
          <xdr:cNvPr id="348" name="Rectangle 154">
            <a:extLst>
              <a:ext uri="{FF2B5EF4-FFF2-40B4-BE49-F238E27FC236}">
                <a16:creationId xmlns:a16="http://schemas.microsoft.com/office/drawing/2014/main" id="{00000000-0008-0000-0000-00005C010000}"/>
              </a:ext>
            </a:extLst>
          </xdr:cNvPr>
          <xdr:cNvSpPr/>
        </xdr:nvSpPr>
        <xdr:spPr bwMode="auto">
          <a:xfrm rot="4171756">
            <a:off x="13609566" y="1485792"/>
            <a:ext cx="1088168" cy="3617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12  11  10  9</a:t>
            </a:r>
          </a:p>
        </xdr:txBody>
      </xdr:sp>
      <xdr:sp macro="" textlink="">
        <xdr:nvSpPr>
          <xdr:cNvPr id="349" name="Rectangle 155">
            <a:extLst>
              <a:ext uri="{FF2B5EF4-FFF2-40B4-BE49-F238E27FC236}">
                <a16:creationId xmlns:a16="http://schemas.microsoft.com/office/drawing/2014/main" id="{00000000-0008-0000-0000-00005D010000}"/>
              </a:ext>
            </a:extLst>
          </xdr:cNvPr>
          <xdr:cNvSpPr/>
        </xdr:nvSpPr>
        <xdr:spPr bwMode="auto">
          <a:xfrm>
            <a:off x="12042322" y="681428"/>
            <a:ext cx="1156606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16  15  14  13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437404</xdr:colOff>
      <xdr:row>3</xdr:row>
      <xdr:rowOff>178632</xdr:rowOff>
    </xdr:from>
    <xdr:to>
      <xdr:col>30</xdr:col>
      <xdr:colOff>418382</xdr:colOff>
      <xdr:row>7</xdr:row>
      <xdr:rowOff>201010</xdr:rowOff>
    </xdr:to>
    <xdr:pic>
      <xdr:nvPicPr>
        <xdr:cNvPr id="251" name="Picture 177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96154" y="1185561"/>
          <a:ext cx="3396371" cy="1274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265152</xdr:colOff>
      <xdr:row>1</xdr:row>
      <xdr:rowOff>31297</xdr:rowOff>
    </xdr:from>
    <xdr:to>
      <xdr:col>20</xdr:col>
      <xdr:colOff>21774</xdr:colOff>
      <xdr:row>3</xdr:row>
      <xdr:rowOff>98494</xdr:rowOff>
    </xdr:to>
    <xdr:grpSp>
      <xdr:nvGrpSpPr>
        <xdr:cNvPr id="133" name="Group 24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GrpSpPr>
          <a:grpSpLocks/>
        </xdr:cNvGrpSpPr>
      </xdr:nvGrpSpPr>
      <xdr:grpSpPr bwMode="auto">
        <a:xfrm>
          <a:off x="10715438" y="351972"/>
          <a:ext cx="337193" cy="762522"/>
          <a:chOff x="1004" y="16"/>
          <a:chExt cx="33" cy="76"/>
        </a:xfrm>
      </xdr:grpSpPr>
      <xdr:sp macro="" textlink="">
        <xdr:nvSpPr>
          <xdr:cNvPr id="134" name="Text Box 240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" y="36"/>
            <a:ext cx="33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AU" sz="2200" b="0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135" name="Line 239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8" y="16"/>
            <a:ext cx="0" cy="7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stealth" w="lg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81643</xdr:colOff>
      <xdr:row>1</xdr:row>
      <xdr:rowOff>368464</xdr:rowOff>
    </xdr:from>
    <xdr:to>
      <xdr:col>19</xdr:col>
      <xdr:colOff>507027</xdr:colOff>
      <xdr:row>10</xdr:row>
      <xdr:rowOff>331620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7051675" y="689139"/>
          <a:ext cx="3908813" cy="2884156"/>
          <a:chOff x="10599964" y="681428"/>
          <a:chExt cx="3936027" cy="2847871"/>
        </a:xfrm>
      </xdr:grpSpPr>
      <xdr:sp macro="" textlink="">
        <xdr:nvSpPr>
          <xdr:cNvPr id="137" name="Line 2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713314" y="2110181"/>
            <a:ext cx="822677" cy="353784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3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230961" y="967180"/>
            <a:ext cx="1104982" cy="49324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4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847215" y="967179"/>
            <a:ext cx="1135100" cy="521989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5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599964" y="2078439"/>
            <a:ext cx="831086" cy="399132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6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3713315" y="2463965"/>
            <a:ext cx="811139" cy="100937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10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0702658" y="2465733"/>
            <a:ext cx="698449" cy="106356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11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3227572" y="722250"/>
            <a:ext cx="0" cy="752327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12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1988349" y="735859"/>
            <a:ext cx="0" cy="761999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5" name="Group 179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12055504" y="988780"/>
            <a:ext cx="1104338" cy="500386"/>
            <a:chOff x="7458073" y="2437547"/>
            <a:chExt cx="1103943" cy="426687"/>
          </a:xfrm>
        </xdr:grpSpPr>
        <xdr:grpSp>
          <xdr:nvGrpSpPr>
            <xdr:cNvPr id="189" name="Group 90">
              <a:extLst>
                <a:ext uri="{FF2B5EF4-FFF2-40B4-BE49-F238E27FC236}">
                  <a16:creationId xmlns:a16="http://schemas.microsoft.com/office/drawing/2014/main" id="{00000000-0008-0000-0100-0000B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458073" y="2437547"/>
              <a:ext cx="1103943" cy="426687"/>
              <a:chOff x="771" y="250"/>
              <a:chExt cx="114" cy="45"/>
            </a:xfrm>
          </xdr:grpSpPr>
          <xdr:sp macro="" textlink="">
            <xdr:nvSpPr>
              <xdr:cNvPr id="191" name="Line 68">
                <a:extLst>
                  <a:ext uri="{FF2B5EF4-FFF2-40B4-BE49-F238E27FC236}">
                    <a16:creationId xmlns:a16="http://schemas.microsoft.com/office/drawing/2014/main" id="{00000000-0008-0000-0100-0000B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802" y="250"/>
                <a:ext cx="20" cy="4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2" name="Line 72">
                <a:extLst>
                  <a:ext uri="{FF2B5EF4-FFF2-40B4-BE49-F238E27FC236}">
                    <a16:creationId xmlns:a16="http://schemas.microsoft.com/office/drawing/2014/main" id="{00000000-0008-0000-0100-0000C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789" y="25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3" name="Line 73">
                <a:extLst>
                  <a:ext uri="{FF2B5EF4-FFF2-40B4-BE49-F238E27FC236}">
                    <a16:creationId xmlns:a16="http://schemas.microsoft.com/office/drawing/2014/main" id="{00000000-0008-0000-0100-0000C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71" y="253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4" name="Line 78">
                <a:extLst>
                  <a:ext uri="{FF2B5EF4-FFF2-40B4-BE49-F238E27FC236}">
                    <a16:creationId xmlns:a16="http://schemas.microsoft.com/office/drawing/2014/main" id="{00000000-0008-0000-0100-0000C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865" y="25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5" name="Line 85">
                <a:extLst>
                  <a:ext uri="{FF2B5EF4-FFF2-40B4-BE49-F238E27FC236}">
                    <a16:creationId xmlns:a16="http://schemas.microsoft.com/office/drawing/2014/main" id="{00000000-0008-0000-0100-0000C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65" y="253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90" name="Line 68">
              <a:extLst>
                <a:ext uri="{FF2B5EF4-FFF2-40B4-BE49-F238E27FC236}">
                  <a16:creationId xmlns:a16="http://schemas.microsoft.com/office/drawing/2014/main" id="{00000000-0008-0000-0100-0000BE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062603" y="2443714"/>
              <a:ext cx="169727" cy="40720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6" name="Line 6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2094429" y="2748004"/>
            <a:ext cx="473886" cy="75331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Line 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12574616" y="2768321"/>
            <a:ext cx="509285" cy="718626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8" name="Group 199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GrpSpPr>
            <a:grpSpLocks/>
          </xdr:cNvGrpSpPr>
        </xdr:nvGrpSpPr>
        <xdr:grpSpPr bwMode="auto">
          <a:xfrm rot="10978960">
            <a:off x="12875167" y="2664743"/>
            <a:ext cx="1019826" cy="579902"/>
            <a:chOff x="7731426" y="975560"/>
            <a:chExt cx="953672" cy="549020"/>
          </a:xfrm>
        </xdr:grpSpPr>
        <xdr:grpSp>
          <xdr:nvGrpSpPr>
            <xdr:cNvPr id="181" name="Group 125">
              <a:extLst>
                <a:ext uri="{FF2B5EF4-FFF2-40B4-BE49-F238E27FC236}">
                  <a16:creationId xmlns:a16="http://schemas.microsoft.com/office/drawing/2014/main" id="{00000000-0008-0000-0100-0000B5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31426" y="1022037"/>
              <a:ext cx="953672" cy="502543"/>
              <a:chOff x="815" y="82"/>
              <a:chExt cx="98" cy="53"/>
            </a:xfrm>
          </xdr:grpSpPr>
          <xdr:sp macro="" textlink="">
            <xdr:nvSpPr>
              <xdr:cNvPr id="183" name="Line 102">
                <a:extLst>
                  <a:ext uri="{FF2B5EF4-FFF2-40B4-BE49-F238E27FC236}">
                    <a16:creationId xmlns:a16="http://schemas.microsoft.com/office/drawing/2014/main" id="{00000000-0008-0000-0100-0000B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48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4" name="Line 103">
                <a:extLst>
                  <a:ext uri="{FF2B5EF4-FFF2-40B4-BE49-F238E27FC236}">
                    <a16:creationId xmlns:a16="http://schemas.microsoft.com/office/drawing/2014/main" id="{00000000-0008-0000-0100-0000B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5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5" name="Line 104">
                <a:extLst>
                  <a:ext uri="{FF2B5EF4-FFF2-40B4-BE49-F238E27FC236}">
                    <a16:creationId xmlns:a16="http://schemas.microsoft.com/office/drawing/2014/main" id="{00000000-0008-0000-0100-0000B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5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6" name="Line 105">
                <a:extLst>
                  <a:ext uri="{FF2B5EF4-FFF2-40B4-BE49-F238E27FC236}">
                    <a16:creationId xmlns:a16="http://schemas.microsoft.com/office/drawing/2014/main" id="{00000000-0008-0000-0100-0000B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5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7" name="Line 106">
                <a:extLst>
                  <a:ext uri="{FF2B5EF4-FFF2-40B4-BE49-F238E27FC236}">
                    <a16:creationId xmlns:a16="http://schemas.microsoft.com/office/drawing/2014/main" id="{00000000-0008-0000-0100-0000B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5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2" name="Line 102">
              <a:extLst>
                <a:ext uri="{FF2B5EF4-FFF2-40B4-BE49-F238E27FC236}">
                  <a16:creationId xmlns:a16="http://schemas.microsoft.com/office/drawing/2014/main" id="{00000000-0008-0000-0100-0000B6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64632" y="975560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9" name="Group 200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GrpSpPr>
            <a:grpSpLocks/>
          </xdr:cNvGrpSpPr>
        </xdr:nvGrpSpPr>
        <xdr:grpSpPr bwMode="auto">
          <a:xfrm rot="14700584">
            <a:off x="11261369" y="2671045"/>
            <a:ext cx="1007313" cy="592469"/>
            <a:chOff x="7763488" y="948487"/>
            <a:chExt cx="953671" cy="554037"/>
          </a:xfrm>
        </xdr:grpSpPr>
        <xdr:grpSp>
          <xdr:nvGrpSpPr>
            <xdr:cNvPr id="173" name="Group 125">
              <a:extLst>
                <a:ext uri="{FF2B5EF4-FFF2-40B4-BE49-F238E27FC236}">
                  <a16:creationId xmlns:a16="http://schemas.microsoft.com/office/drawing/2014/main" id="{00000000-0008-0000-0100-0000AD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8" y="999981"/>
              <a:ext cx="953671" cy="502543"/>
              <a:chOff x="819" y="82"/>
              <a:chExt cx="98" cy="53"/>
            </a:xfrm>
          </xdr:grpSpPr>
          <xdr:sp macro="" textlink="">
            <xdr:nvSpPr>
              <xdr:cNvPr id="175" name="Line 102">
                <a:extLst>
                  <a:ext uri="{FF2B5EF4-FFF2-40B4-BE49-F238E27FC236}">
                    <a16:creationId xmlns:a16="http://schemas.microsoft.com/office/drawing/2014/main" id="{00000000-0008-0000-0100-0000A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6" name="Line 103">
                <a:extLst>
                  <a:ext uri="{FF2B5EF4-FFF2-40B4-BE49-F238E27FC236}">
                    <a16:creationId xmlns:a16="http://schemas.microsoft.com/office/drawing/2014/main" id="{00000000-0008-0000-0100-0000B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7" name="Line 104">
                <a:extLst>
                  <a:ext uri="{FF2B5EF4-FFF2-40B4-BE49-F238E27FC236}">
                    <a16:creationId xmlns:a16="http://schemas.microsoft.com/office/drawing/2014/main" id="{00000000-0008-0000-0100-0000B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8" name="Line 105">
                <a:extLst>
                  <a:ext uri="{FF2B5EF4-FFF2-40B4-BE49-F238E27FC236}">
                    <a16:creationId xmlns:a16="http://schemas.microsoft.com/office/drawing/2014/main" id="{00000000-0008-0000-0100-0000B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9" name="Line 106">
                <a:extLst>
                  <a:ext uri="{FF2B5EF4-FFF2-40B4-BE49-F238E27FC236}">
                    <a16:creationId xmlns:a16="http://schemas.microsoft.com/office/drawing/2014/main" id="{00000000-0008-0000-0100-0000B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4" name="Line 102">
              <a:extLst>
                <a:ext uri="{FF2B5EF4-FFF2-40B4-BE49-F238E27FC236}">
                  <a16:creationId xmlns:a16="http://schemas.microsoft.com/office/drawing/2014/main" id="{00000000-0008-0000-0100-0000AE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0" name="Group 210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GrpSpPr>
            <a:grpSpLocks/>
          </xdr:cNvGrpSpPr>
        </xdr:nvGrpSpPr>
        <xdr:grpSpPr bwMode="auto">
          <a:xfrm rot="19830901">
            <a:off x="10872704" y="1509533"/>
            <a:ext cx="1019826" cy="585200"/>
            <a:chOff x="7763487" y="948487"/>
            <a:chExt cx="953671" cy="554036"/>
          </a:xfrm>
        </xdr:grpSpPr>
        <xdr:grpSp>
          <xdr:nvGrpSpPr>
            <xdr:cNvPr id="165" name="Group 125">
              <a:extLst>
                <a:ext uri="{FF2B5EF4-FFF2-40B4-BE49-F238E27FC236}">
                  <a16:creationId xmlns:a16="http://schemas.microsoft.com/office/drawing/2014/main" id="{00000000-0008-0000-0100-0000A5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7" y="999980"/>
              <a:ext cx="953671" cy="502543"/>
              <a:chOff x="819" y="82"/>
              <a:chExt cx="98" cy="53"/>
            </a:xfrm>
          </xdr:grpSpPr>
          <xdr:sp macro="" textlink="">
            <xdr:nvSpPr>
              <xdr:cNvPr id="167" name="Line 102">
                <a:extLst>
                  <a:ext uri="{FF2B5EF4-FFF2-40B4-BE49-F238E27FC236}">
                    <a16:creationId xmlns:a16="http://schemas.microsoft.com/office/drawing/2014/main" id="{00000000-0008-0000-0100-0000A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8" name="Line 103">
                <a:extLst>
                  <a:ext uri="{FF2B5EF4-FFF2-40B4-BE49-F238E27FC236}">
                    <a16:creationId xmlns:a16="http://schemas.microsoft.com/office/drawing/2014/main" id="{00000000-0008-0000-0100-0000A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9" name="Line 104">
                <a:extLst>
                  <a:ext uri="{FF2B5EF4-FFF2-40B4-BE49-F238E27FC236}">
                    <a16:creationId xmlns:a16="http://schemas.microsoft.com/office/drawing/2014/main" id="{00000000-0008-0000-0100-0000A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0" name="Line 105">
                <a:extLst>
                  <a:ext uri="{FF2B5EF4-FFF2-40B4-BE49-F238E27FC236}">
                    <a16:creationId xmlns:a16="http://schemas.microsoft.com/office/drawing/2014/main" id="{00000000-0008-0000-0100-0000A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1" name="Line 106">
                <a:extLst>
                  <a:ext uri="{FF2B5EF4-FFF2-40B4-BE49-F238E27FC236}">
                    <a16:creationId xmlns:a16="http://schemas.microsoft.com/office/drawing/2014/main" id="{00000000-0008-0000-0100-0000A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66" name="Line 102">
              <a:extLst>
                <a:ext uri="{FF2B5EF4-FFF2-40B4-BE49-F238E27FC236}">
                  <a16:creationId xmlns:a16="http://schemas.microsoft.com/office/drawing/2014/main" id="{00000000-0008-0000-0100-0000A6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1" name="Group 219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GrpSpPr>
            <a:grpSpLocks/>
          </xdr:cNvGrpSpPr>
        </xdr:nvGrpSpPr>
        <xdr:grpSpPr bwMode="auto">
          <a:xfrm rot="6385603">
            <a:off x="13297615" y="1525044"/>
            <a:ext cx="1007313" cy="592474"/>
            <a:chOff x="7763480" y="948487"/>
            <a:chExt cx="953670" cy="554041"/>
          </a:xfrm>
        </xdr:grpSpPr>
        <xdr:grpSp>
          <xdr:nvGrpSpPr>
            <xdr:cNvPr id="157" name="Group 125">
              <a:extLst>
                <a:ext uri="{FF2B5EF4-FFF2-40B4-BE49-F238E27FC236}">
                  <a16:creationId xmlns:a16="http://schemas.microsoft.com/office/drawing/2014/main" id="{00000000-0008-0000-0100-00009D000000}"/>
                </a:ext>
              </a:extLst>
            </xdr:cNvPr>
            <xdr:cNvGrpSpPr>
              <a:grpSpLocks/>
            </xdr:cNvGrpSpPr>
          </xdr:nvGrpSpPr>
          <xdr:grpSpPr bwMode="auto">
            <a:xfrm rot="-2071645">
              <a:off x="7763480" y="999985"/>
              <a:ext cx="953670" cy="502543"/>
              <a:chOff x="819" y="82"/>
              <a:chExt cx="98" cy="53"/>
            </a:xfrm>
          </xdr:grpSpPr>
          <xdr:sp macro="" textlink="">
            <xdr:nvSpPr>
              <xdr:cNvPr id="159" name="Line 102">
                <a:extLst>
                  <a:ext uri="{FF2B5EF4-FFF2-40B4-BE49-F238E27FC236}">
                    <a16:creationId xmlns:a16="http://schemas.microsoft.com/office/drawing/2014/main" id="{00000000-0008-0000-0100-00009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52" y="82"/>
                <a:ext cx="12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0" name="Line 103">
                <a:extLst>
                  <a:ext uri="{FF2B5EF4-FFF2-40B4-BE49-F238E27FC236}">
                    <a16:creationId xmlns:a16="http://schemas.microsoft.com/office/drawing/2014/main" id="{00000000-0008-0000-0100-0000A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99" y="84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1" name="Line 104">
                <a:extLst>
                  <a:ext uri="{FF2B5EF4-FFF2-40B4-BE49-F238E27FC236}">
                    <a16:creationId xmlns:a16="http://schemas.microsoft.com/office/drawing/2014/main" id="{00000000-0008-0000-01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899" y="124"/>
                <a:ext cx="1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2" name="Line 105">
                <a:extLst>
                  <a:ext uri="{FF2B5EF4-FFF2-40B4-BE49-F238E27FC236}">
                    <a16:creationId xmlns:a16="http://schemas.microsoft.com/office/drawing/2014/main" id="{00000000-0008-0000-0100-0000A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V="1">
                <a:off x="839" y="83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3" name="Line 106">
                <a:extLst>
                  <a:ext uri="{FF2B5EF4-FFF2-40B4-BE49-F238E27FC236}">
                    <a16:creationId xmlns:a16="http://schemas.microsoft.com/office/drawing/2014/main" id="{00000000-0008-0000-0100-0000A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>
                <a:off x="819" y="124"/>
                <a:ext cx="2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58" name="Line 102">
              <a:extLst>
                <a:ext uri="{FF2B5EF4-FFF2-40B4-BE49-F238E27FC236}">
                  <a16:creationId xmlns:a16="http://schemas.microsoft.com/office/drawing/2014/main" id="{00000000-0008-0000-0100-00009E000000}"/>
                </a:ext>
              </a:extLst>
            </xdr:cNvPr>
            <xdr:cNvSpPr>
              <a:spLocks noChangeShapeType="1"/>
            </xdr:cNvSpPr>
          </xdr:nvSpPr>
          <xdr:spPr bwMode="auto">
            <a:xfrm rot="8908815" flipH="1" flipV="1">
              <a:off x="8288722" y="948487"/>
              <a:ext cx="116853" cy="46334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 bwMode="auto">
          <a:xfrm rot="17628020">
            <a:off x="10427826" y="1458587"/>
            <a:ext cx="1200637" cy="3617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20  19  18  17</a:t>
            </a:r>
          </a:p>
        </xdr:txBody>
      </xdr:sp>
      <xdr:sp macro="" textlink="">
        <xdr:nvSpPr>
          <xdr:cNvPr id="153" name="Rectangle 152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SpPr/>
        </xdr:nvSpPr>
        <xdr:spPr bwMode="auto">
          <a:xfrm rot="1750960">
            <a:off x="11106825" y="3107520"/>
            <a:ext cx="911599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1   2   3   4</a:t>
            </a:r>
          </a:p>
        </xdr:txBody>
      </xdr:sp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/>
        </xdr:nvSpPr>
        <xdr:spPr bwMode="auto">
          <a:xfrm rot="19800000">
            <a:off x="13130135" y="3044649"/>
            <a:ext cx="1007528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5   6   7   8</a:t>
            </a:r>
          </a:p>
        </xdr:txBody>
      </xdr:sp>
      <xdr:sp macro="" textlink="">
        <xdr:nvSpPr>
          <xdr:cNvPr id="155" name="Rectangle 154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 bwMode="auto">
          <a:xfrm rot="4171756">
            <a:off x="13609566" y="1485792"/>
            <a:ext cx="1088168" cy="3617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12  11  10  9</a:t>
            </a:r>
          </a:p>
        </xdr:txBody>
      </xdr:sp>
      <xdr:sp macro="" textlink="">
        <xdr:nvSpPr>
          <xdr:cNvPr id="156" name="Rectangle 155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SpPr/>
        </xdr:nvSpPr>
        <xdr:spPr bwMode="auto">
          <a:xfrm>
            <a:off x="12042322" y="681428"/>
            <a:ext cx="1156606" cy="3611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Calibri" pitchFamily="34" charset="0"/>
                <a:cs typeface="Arial" pitchFamily="34" charset="0"/>
              </a:rPr>
              <a:t>16  15  14  13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33279</xdr:colOff>
      <xdr:row>3</xdr:row>
      <xdr:rowOff>154631</xdr:rowOff>
    </xdr:from>
    <xdr:to>
      <xdr:col>72</xdr:col>
      <xdr:colOff>119123</xdr:colOff>
      <xdr:row>7</xdr:row>
      <xdr:rowOff>136027</xdr:rowOff>
    </xdr:to>
    <xdr:pic>
      <xdr:nvPicPr>
        <xdr:cNvPr id="2" name="Picture 7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78104" y="697556"/>
          <a:ext cx="2286119" cy="857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8804</xdr:colOff>
      <xdr:row>11</xdr:row>
      <xdr:rowOff>219076</xdr:rowOff>
    </xdr:from>
    <xdr:to>
      <xdr:col>58</xdr:col>
      <xdr:colOff>431345</xdr:colOff>
      <xdr:row>19</xdr:row>
      <xdr:rowOff>1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4851929" y="2552701"/>
          <a:ext cx="549541" cy="1257300"/>
          <a:chOff x="9840520" y="2403401"/>
          <a:chExt cx="778658" cy="2032682"/>
        </a:xfrm>
      </xdr:grpSpPr>
      <xdr:sp macro="" textlink="">
        <xdr:nvSpPr>
          <xdr:cNvPr id="7" name="Line 208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10237564" y="2403401"/>
            <a:ext cx="0" cy="2032682"/>
          </a:xfrm>
          <a:prstGeom prst="line">
            <a:avLst/>
          </a:prstGeom>
          <a:noFill/>
          <a:ln w="31750">
            <a:solidFill>
              <a:srgbClr val="000000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9840520" y="3116301"/>
            <a:ext cx="778658" cy="5905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3500" b="1">
                <a:latin typeface="+mn-lt"/>
              </a:rPr>
              <a:t>N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13</xdr:row>
          <xdr:rowOff>85725</xdr:rowOff>
        </xdr:from>
        <xdr:to>
          <xdr:col>8</xdr:col>
          <xdr:colOff>133350</xdr:colOff>
          <xdr:row>15</xdr:row>
          <xdr:rowOff>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13</xdr:row>
          <xdr:rowOff>85725</xdr:rowOff>
        </xdr:from>
        <xdr:to>
          <xdr:col>15</xdr:col>
          <xdr:colOff>266700</xdr:colOff>
          <xdr:row>15</xdr:row>
          <xdr:rowOff>0</xdr:rowOff>
        </xdr:to>
        <xdr:sp macro="" textlink="">
          <xdr:nvSpPr>
            <xdr:cNvPr id="16386" name="Drop Dow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44</xdr:col>
      <xdr:colOff>176329</xdr:colOff>
      <xdr:row>63</xdr:row>
      <xdr:rowOff>85894</xdr:rowOff>
    </xdr:from>
    <xdr:to>
      <xdr:col>60</xdr:col>
      <xdr:colOff>289041</xdr:colOff>
      <xdr:row>65</xdr:row>
      <xdr:rowOff>104775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4DF749C6-8FE7-84EB-E5A3-59F2FACF9208}"/>
            </a:ext>
          </a:extLst>
        </xdr:cNvPr>
        <xdr:cNvGrpSpPr/>
      </xdr:nvGrpSpPr>
      <xdr:grpSpPr>
        <a:xfrm>
          <a:off x="11161829" y="11261894"/>
          <a:ext cx="4652962" cy="399881"/>
          <a:chOff x="10387129" y="10563394"/>
          <a:chExt cx="4532312" cy="399881"/>
        </a:xfrm>
      </xdr:grpSpPr>
      <xdr:sp macro="" textlink="">
        <xdr:nvSpPr>
          <xdr:cNvPr id="140" name="AutoShape 186">
            <a:extLst>
              <a:ext uri="{FF2B5EF4-FFF2-40B4-BE49-F238E27FC236}">
                <a16:creationId xmlns:a16="http://schemas.microsoft.com/office/drawing/2014/main" id="{00000000-0008-0000-0200-00008C000000}"/>
              </a:ext>
            </a:extLst>
          </xdr:cNvPr>
          <xdr:cNvSpPr>
            <a:spLocks noChangeArrowheads="1"/>
          </xdr:cNvSpPr>
        </xdr:nvSpPr>
        <xdr:spPr bwMode="auto">
          <a:xfrm rot="16200000" flipV="1">
            <a:off x="10262742" y="10721354"/>
            <a:ext cx="360000" cy="111225"/>
          </a:xfrm>
          <a:prstGeom prst="rightArrow">
            <a:avLst>
              <a:gd name="adj1" fmla="val 50000"/>
              <a:gd name="adj2" fmla="val 9529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sp macro="" textlink="">
        <xdr:nvSpPr>
          <xdr:cNvPr id="142" name="AutoShape 186">
            <a:extLst>
              <a:ext uri="{FF2B5EF4-FFF2-40B4-BE49-F238E27FC236}">
                <a16:creationId xmlns:a16="http://schemas.microsoft.com/office/drawing/2014/main" id="{00000000-0008-0000-0200-00008E000000}"/>
              </a:ext>
            </a:extLst>
          </xdr:cNvPr>
          <xdr:cNvSpPr>
            <a:spLocks noChangeArrowheads="1"/>
          </xdr:cNvSpPr>
        </xdr:nvSpPr>
        <xdr:spPr bwMode="auto">
          <a:xfrm rot="5400000" flipV="1">
            <a:off x="14683641" y="10692592"/>
            <a:ext cx="360000" cy="111600"/>
          </a:xfrm>
          <a:prstGeom prst="rightArrow">
            <a:avLst>
              <a:gd name="adj1" fmla="val 50000"/>
              <a:gd name="adj2" fmla="val 9529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grpSp>
        <xdr:nvGrpSpPr>
          <xdr:cNvPr id="60" name="그룹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GrpSpPr/>
        </xdr:nvGrpSpPr>
        <xdr:grpSpPr>
          <a:xfrm>
            <a:off x="10791825" y="10563394"/>
            <a:ext cx="2543177" cy="399881"/>
            <a:chOff x="4797879" y="10368812"/>
            <a:chExt cx="2564948" cy="399881"/>
          </a:xfrm>
        </xdr:grpSpPr>
        <xdr:sp macro="" textlink="">
          <xdr:nvSpPr>
            <xdr:cNvPr id="143" name="Line 150">
              <a:extLst>
                <a:ext uri="{FF2B5EF4-FFF2-40B4-BE49-F238E27FC236}">
                  <a16:creationId xmlns:a16="http://schemas.microsoft.com/office/drawing/2014/main" id="{00000000-0008-0000-0200-00008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5263247" y="10416438"/>
              <a:ext cx="279614" cy="350417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grpSp>
          <xdr:nvGrpSpPr>
            <xdr:cNvPr id="144" name="Group 5">
              <a:extLst>
                <a:ext uri="{FF2B5EF4-FFF2-40B4-BE49-F238E27FC236}">
                  <a16:creationId xmlns:a16="http://schemas.microsoft.com/office/drawing/2014/main" id="{00000000-0008-0000-0200-000090000000}"/>
                </a:ext>
              </a:extLst>
            </xdr:cNvPr>
            <xdr:cNvGrpSpPr/>
          </xdr:nvGrpSpPr>
          <xdr:grpSpPr>
            <a:xfrm rot="10800000">
              <a:off x="4797879" y="10455107"/>
              <a:ext cx="205202" cy="311750"/>
              <a:chOff x="9013076" y="4988623"/>
              <a:chExt cx="204163" cy="311750"/>
            </a:xfrm>
          </xdr:grpSpPr>
          <xdr:sp macro="" textlink="">
            <xdr:nvSpPr>
              <xdr:cNvPr id="145" name="Line 154">
                <a:extLst>
                  <a:ext uri="{FF2B5EF4-FFF2-40B4-BE49-F238E27FC236}">
                    <a16:creationId xmlns:a16="http://schemas.microsoft.com/office/drawing/2014/main" id="{00000000-0008-0000-0200-00009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016391" y="4988623"/>
                <a:ext cx="0" cy="307642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46" name="Line 164">
                <a:extLst>
                  <a:ext uri="{FF2B5EF4-FFF2-40B4-BE49-F238E27FC236}">
                    <a16:creationId xmlns:a16="http://schemas.microsoft.com/office/drawing/2014/main" id="{00000000-0008-0000-0200-00009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>
                <a:off x="9072581" y="5155714"/>
                <a:ext cx="85154" cy="204163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grpSp>
          <xdr:nvGrpSpPr>
            <xdr:cNvPr id="147" name="Group 2">
              <a:extLst>
                <a:ext uri="{FF2B5EF4-FFF2-40B4-BE49-F238E27FC236}">
                  <a16:creationId xmlns:a16="http://schemas.microsoft.com/office/drawing/2014/main" id="{00000000-0008-0000-0200-000093000000}"/>
                </a:ext>
              </a:extLst>
            </xdr:cNvPr>
            <xdr:cNvGrpSpPr/>
          </xdr:nvGrpSpPr>
          <xdr:grpSpPr>
            <a:xfrm rot="10800000">
              <a:off x="6665909" y="10368812"/>
              <a:ext cx="196177" cy="398045"/>
              <a:chOff x="7179728" y="4988623"/>
              <a:chExt cx="195184" cy="398045"/>
            </a:xfrm>
          </xdr:grpSpPr>
          <xdr:sp macro="" textlink="">
            <xdr:nvSpPr>
              <xdr:cNvPr id="148" name="Line 154">
                <a:extLst>
                  <a:ext uri="{FF2B5EF4-FFF2-40B4-BE49-F238E27FC236}">
                    <a16:creationId xmlns:a16="http://schemas.microsoft.com/office/drawing/2014/main" id="{00000000-0008-0000-0200-00009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368946" y="4988623"/>
                <a:ext cx="0" cy="307642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49" name="Line 164">
                <a:extLst>
                  <a:ext uri="{FF2B5EF4-FFF2-40B4-BE49-F238E27FC236}">
                    <a16:creationId xmlns:a16="http://schemas.microsoft.com/office/drawing/2014/main" id="{00000000-0008-0000-0200-00009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>
                <a:off x="7234172" y="5245928"/>
                <a:ext cx="86296" cy="195184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 type="triangle"/>
                <a:tailEnd type="non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sp macro="" textlink="">
          <xdr:nvSpPr>
            <xdr:cNvPr id="150" name="Line 150">
              <a:extLst>
                <a:ext uri="{FF2B5EF4-FFF2-40B4-BE49-F238E27FC236}">
                  <a16:creationId xmlns:a16="http://schemas.microsoft.com/office/drawing/2014/main" id="{00000000-0008-0000-0200-00009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5980344" y="10397387"/>
              <a:ext cx="119842" cy="369468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51" name="Freeform 97">
              <a:extLst>
                <a:ext uri="{FF2B5EF4-FFF2-40B4-BE49-F238E27FC236}">
                  <a16:creationId xmlns:a16="http://schemas.microsoft.com/office/drawing/2014/main" id="{00000000-0008-0000-0200-000097000000}"/>
                </a:ext>
              </a:extLst>
            </xdr:cNvPr>
            <xdr:cNvSpPr/>
          </xdr:nvSpPr>
          <xdr:spPr>
            <a:xfrm>
              <a:off x="7229477" y="10446054"/>
              <a:ext cx="133350" cy="322639"/>
            </a:xfrm>
            <a:custGeom>
              <a:avLst/>
              <a:gdLst>
                <a:gd name="connsiteX0" fmla="*/ 0 w 104775"/>
                <a:gd name="connsiteY0" fmla="*/ 304800 h 304800"/>
                <a:gd name="connsiteX1" fmla="*/ 0 w 104775"/>
                <a:gd name="connsiteY1" fmla="*/ 0 h 304800"/>
                <a:gd name="connsiteX2" fmla="*/ 104775 w 104775"/>
                <a:gd name="connsiteY2" fmla="*/ 9525 h 304800"/>
                <a:gd name="connsiteX3" fmla="*/ 104775 w 104775"/>
                <a:gd name="connsiteY3" fmla="*/ 190500 h 304800"/>
                <a:gd name="connsiteX0" fmla="*/ 0 w 114300"/>
                <a:gd name="connsiteY0" fmla="*/ 323850 h 323850"/>
                <a:gd name="connsiteX1" fmla="*/ 0 w 114300"/>
                <a:gd name="connsiteY1" fmla="*/ 19050 h 323850"/>
                <a:gd name="connsiteX2" fmla="*/ 114300 w 114300"/>
                <a:gd name="connsiteY2" fmla="*/ 0 h 323850"/>
                <a:gd name="connsiteX3" fmla="*/ 104775 w 114300"/>
                <a:gd name="connsiteY3" fmla="*/ 209550 h 323850"/>
                <a:gd name="connsiteX0" fmla="*/ 0 w 104775"/>
                <a:gd name="connsiteY0" fmla="*/ 305991 h 305991"/>
                <a:gd name="connsiteX1" fmla="*/ 0 w 104775"/>
                <a:gd name="connsiteY1" fmla="*/ 1191 h 305991"/>
                <a:gd name="connsiteX2" fmla="*/ 102394 w 104775"/>
                <a:gd name="connsiteY2" fmla="*/ 0 h 305991"/>
                <a:gd name="connsiteX3" fmla="*/ 104775 w 104775"/>
                <a:gd name="connsiteY3" fmla="*/ 191691 h 30599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04775" h="305991">
                  <a:moveTo>
                    <a:pt x="0" y="305991"/>
                  </a:moveTo>
                  <a:lnTo>
                    <a:pt x="0" y="1191"/>
                  </a:lnTo>
                  <a:lnTo>
                    <a:pt x="102394" y="0"/>
                  </a:lnTo>
                  <a:cubicBezTo>
                    <a:pt x="103188" y="63897"/>
                    <a:pt x="103981" y="127794"/>
                    <a:pt x="104775" y="191691"/>
                  </a:cubicBezTo>
                </a:path>
              </a:pathLst>
            </a:custGeom>
            <a:ln w="25400">
              <a:solidFill>
                <a:sysClr val="windowText" lastClr="00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ko-KR" altLang="en-US" sz="1100"/>
            </a:p>
          </xdr:txBody>
        </xdr:sp>
      </xdr:grpSp>
    </xdr:grpSp>
    <xdr:clientData/>
  </xdr:twoCellAnchor>
  <xdr:twoCellAnchor>
    <xdr:from>
      <xdr:col>18</xdr:col>
      <xdr:colOff>176329</xdr:colOff>
      <xdr:row>63</xdr:row>
      <xdr:rowOff>75008</xdr:rowOff>
    </xdr:from>
    <xdr:to>
      <xdr:col>34</xdr:col>
      <xdr:colOff>289041</xdr:colOff>
      <xdr:row>65</xdr:row>
      <xdr:rowOff>114295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289E635B-82FA-B799-84F9-28961385074B}"/>
            </a:ext>
          </a:extLst>
        </xdr:cNvPr>
        <xdr:cNvGrpSpPr/>
      </xdr:nvGrpSpPr>
      <xdr:grpSpPr>
        <a:xfrm>
          <a:off x="3779954" y="11251008"/>
          <a:ext cx="4637087" cy="420287"/>
          <a:chOff x="4310179" y="10542983"/>
          <a:chExt cx="4532312" cy="420287"/>
        </a:xfrm>
      </xdr:grpSpPr>
      <xdr:sp macro="" textlink="">
        <xdr:nvSpPr>
          <xdr:cNvPr id="139" name="AutoShape 186">
            <a:extLst>
              <a:ext uri="{FF2B5EF4-FFF2-40B4-BE49-F238E27FC236}">
                <a16:creationId xmlns:a16="http://schemas.microsoft.com/office/drawing/2014/main" id="{00000000-0008-0000-0200-00008B000000}"/>
              </a:ext>
            </a:extLst>
          </xdr:cNvPr>
          <xdr:cNvSpPr>
            <a:spLocks noChangeArrowheads="1"/>
          </xdr:cNvSpPr>
        </xdr:nvSpPr>
        <xdr:spPr bwMode="auto">
          <a:xfrm rot="16200000" flipV="1">
            <a:off x="4185792" y="10721354"/>
            <a:ext cx="360000" cy="111225"/>
          </a:xfrm>
          <a:prstGeom prst="rightArrow">
            <a:avLst>
              <a:gd name="adj1" fmla="val 50000"/>
              <a:gd name="adj2" fmla="val 9529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sp macro="" textlink="">
        <xdr:nvSpPr>
          <xdr:cNvPr id="141" name="AutoShape 186">
            <a:extLst>
              <a:ext uri="{FF2B5EF4-FFF2-40B4-BE49-F238E27FC236}">
                <a16:creationId xmlns:a16="http://schemas.microsoft.com/office/drawing/2014/main" id="{00000000-0008-0000-0200-00008D000000}"/>
              </a:ext>
            </a:extLst>
          </xdr:cNvPr>
          <xdr:cNvSpPr>
            <a:spLocks noChangeArrowheads="1"/>
          </xdr:cNvSpPr>
        </xdr:nvSpPr>
        <xdr:spPr bwMode="auto">
          <a:xfrm rot="5400000" flipV="1">
            <a:off x="8606691" y="10692592"/>
            <a:ext cx="360000" cy="111600"/>
          </a:xfrm>
          <a:prstGeom prst="rightArrow">
            <a:avLst>
              <a:gd name="adj1" fmla="val 50000"/>
              <a:gd name="adj2" fmla="val 9529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grpSp>
        <xdr:nvGrpSpPr>
          <xdr:cNvPr id="62" name="그룹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GrpSpPr/>
        </xdr:nvGrpSpPr>
        <xdr:grpSpPr>
          <a:xfrm>
            <a:off x="4752975" y="10542983"/>
            <a:ext cx="2505078" cy="420287"/>
            <a:chOff x="4772025" y="10400108"/>
            <a:chExt cx="2505078" cy="420287"/>
          </a:xfrm>
        </xdr:grpSpPr>
        <xdr:sp macro="" textlink="">
          <xdr:nvSpPr>
            <xdr:cNvPr id="161" name="Line 150">
              <a:extLst>
                <a:ext uri="{FF2B5EF4-FFF2-40B4-BE49-F238E27FC236}">
                  <a16:creationId xmlns:a16="http://schemas.microsoft.com/office/drawing/2014/main" id="{00000000-0008-0000-0200-0000A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483893" y="10438210"/>
              <a:ext cx="135858" cy="378990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grpSp>
          <xdr:nvGrpSpPr>
            <xdr:cNvPr id="162" name="Group 164">
              <a:extLst>
                <a:ext uri="{FF2B5EF4-FFF2-40B4-BE49-F238E27FC236}">
                  <a16:creationId xmlns:a16="http://schemas.microsoft.com/office/drawing/2014/main" id="{00000000-0008-0000-0200-0000A2000000}"/>
                </a:ext>
              </a:extLst>
            </xdr:cNvPr>
            <xdr:cNvGrpSpPr/>
          </xdr:nvGrpSpPr>
          <xdr:grpSpPr>
            <a:xfrm rot="10800000">
              <a:off x="4772025" y="10400108"/>
              <a:ext cx="167535" cy="417094"/>
              <a:chOff x="9083098" y="4988623"/>
              <a:chExt cx="175941" cy="406646"/>
            </a:xfrm>
          </xdr:grpSpPr>
          <xdr:sp macro="" textlink="">
            <xdr:nvSpPr>
              <xdr:cNvPr id="163" name="Line 154">
                <a:extLst>
                  <a:ext uri="{FF2B5EF4-FFF2-40B4-BE49-F238E27FC236}">
                    <a16:creationId xmlns:a16="http://schemas.microsoft.com/office/drawing/2014/main" id="{00000000-0008-0000-0200-0000A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086412" y="4988623"/>
                <a:ext cx="0" cy="307642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64" name="Line 164">
                <a:extLst>
                  <a:ext uri="{FF2B5EF4-FFF2-40B4-BE49-F238E27FC236}">
                    <a16:creationId xmlns:a16="http://schemas.microsoft.com/office/drawing/2014/main" id="{00000000-0008-0000-0200-0000A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H="1">
                <a:off x="9118977" y="5255207"/>
                <a:ext cx="104183" cy="175941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grpSp>
          <xdr:nvGrpSpPr>
            <xdr:cNvPr id="165" name="Group 165">
              <a:extLst>
                <a:ext uri="{FF2B5EF4-FFF2-40B4-BE49-F238E27FC236}">
                  <a16:creationId xmlns:a16="http://schemas.microsoft.com/office/drawing/2014/main" id="{00000000-0008-0000-0200-0000A5000000}"/>
                </a:ext>
              </a:extLst>
            </xdr:cNvPr>
            <xdr:cNvGrpSpPr/>
          </xdr:nvGrpSpPr>
          <xdr:grpSpPr>
            <a:xfrm rot="10800000">
              <a:off x="6566138" y="10497445"/>
              <a:ext cx="225188" cy="319757"/>
              <a:chOff x="7138424" y="4988623"/>
              <a:chExt cx="236486" cy="311747"/>
            </a:xfrm>
          </xdr:grpSpPr>
          <xdr:sp macro="" textlink="">
            <xdr:nvSpPr>
              <xdr:cNvPr id="166" name="Line 154">
                <a:extLst>
                  <a:ext uri="{FF2B5EF4-FFF2-40B4-BE49-F238E27FC236}">
                    <a16:creationId xmlns:a16="http://schemas.microsoft.com/office/drawing/2014/main" id="{00000000-0008-0000-0200-0000A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368946" y="4988623"/>
                <a:ext cx="0" cy="307642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67" name="Line 164">
                <a:extLst>
                  <a:ext uri="{FF2B5EF4-FFF2-40B4-BE49-F238E27FC236}">
                    <a16:creationId xmlns:a16="http://schemas.microsoft.com/office/drawing/2014/main" id="{00000000-0008-0000-0200-0000A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H="1">
                <a:off x="7220538" y="5145999"/>
                <a:ext cx="72257" cy="236486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 type="triangle"/>
                <a:tailEnd type="non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sp macro="" textlink="">
          <xdr:nvSpPr>
            <xdr:cNvPr id="168" name="Line 150">
              <a:extLst>
                <a:ext uri="{FF2B5EF4-FFF2-40B4-BE49-F238E27FC236}">
                  <a16:creationId xmlns:a16="http://schemas.microsoft.com/office/drawing/2014/main" id="{00000000-0008-0000-0200-0000A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016273" y="10438207"/>
              <a:ext cx="270228" cy="378993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69" name="Freeform 100">
              <a:extLst>
                <a:ext uri="{FF2B5EF4-FFF2-40B4-BE49-F238E27FC236}">
                  <a16:creationId xmlns:a16="http://schemas.microsoft.com/office/drawing/2014/main" id="{00000000-0008-0000-0200-0000A9000000}"/>
                </a:ext>
              </a:extLst>
            </xdr:cNvPr>
            <xdr:cNvSpPr/>
          </xdr:nvSpPr>
          <xdr:spPr>
            <a:xfrm>
              <a:off x="7143753" y="10496395"/>
              <a:ext cx="133350" cy="324000"/>
            </a:xfrm>
            <a:custGeom>
              <a:avLst/>
              <a:gdLst>
                <a:gd name="connsiteX0" fmla="*/ 0 w 104775"/>
                <a:gd name="connsiteY0" fmla="*/ 304800 h 304800"/>
                <a:gd name="connsiteX1" fmla="*/ 0 w 104775"/>
                <a:gd name="connsiteY1" fmla="*/ 0 h 304800"/>
                <a:gd name="connsiteX2" fmla="*/ 104775 w 104775"/>
                <a:gd name="connsiteY2" fmla="*/ 9525 h 304800"/>
                <a:gd name="connsiteX3" fmla="*/ 104775 w 104775"/>
                <a:gd name="connsiteY3" fmla="*/ 190500 h 304800"/>
                <a:gd name="connsiteX0" fmla="*/ 0 w 114300"/>
                <a:gd name="connsiteY0" fmla="*/ 323850 h 323850"/>
                <a:gd name="connsiteX1" fmla="*/ 0 w 114300"/>
                <a:gd name="connsiteY1" fmla="*/ 19050 h 323850"/>
                <a:gd name="connsiteX2" fmla="*/ 114300 w 114300"/>
                <a:gd name="connsiteY2" fmla="*/ 0 h 323850"/>
                <a:gd name="connsiteX3" fmla="*/ 104775 w 114300"/>
                <a:gd name="connsiteY3" fmla="*/ 209550 h 323850"/>
                <a:gd name="connsiteX0" fmla="*/ 0 w 104775"/>
                <a:gd name="connsiteY0" fmla="*/ 305991 h 305991"/>
                <a:gd name="connsiteX1" fmla="*/ 0 w 104775"/>
                <a:gd name="connsiteY1" fmla="*/ 1191 h 305991"/>
                <a:gd name="connsiteX2" fmla="*/ 102394 w 104775"/>
                <a:gd name="connsiteY2" fmla="*/ 0 h 305991"/>
                <a:gd name="connsiteX3" fmla="*/ 104775 w 104775"/>
                <a:gd name="connsiteY3" fmla="*/ 191691 h 30599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04775" h="305991">
                  <a:moveTo>
                    <a:pt x="0" y="305991"/>
                  </a:moveTo>
                  <a:lnTo>
                    <a:pt x="0" y="1191"/>
                  </a:lnTo>
                  <a:lnTo>
                    <a:pt x="102394" y="0"/>
                  </a:lnTo>
                  <a:cubicBezTo>
                    <a:pt x="103188" y="63897"/>
                    <a:pt x="103981" y="127794"/>
                    <a:pt x="104775" y="191691"/>
                  </a:cubicBezTo>
                </a:path>
              </a:pathLst>
            </a:custGeom>
            <a:ln w="25400">
              <a:solidFill>
                <a:sysClr val="windowText" lastClr="00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ko-KR" altLang="en-US" sz="1100"/>
            </a:p>
          </xdr:txBody>
        </xdr:sp>
      </xdr:grpSp>
    </xdr:grpSp>
    <xdr:clientData/>
  </xdr:twoCellAnchor>
  <xdr:twoCellAnchor>
    <xdr:from>
      <xdr:col>30</xdr:col>
      <xdr:colOff>162472</xdr:colOff>
      <xdr:row>19</xdr:row>
      <xdr:rowOff>3</xdr:rowOff>
    </xdr:from>
    <xdr:to>
      <xdr:col>48</xdr:col>
      <xdr:colOff>274073</xdr:colOff>
      <xdr:row>21</xdr:row>
      <xdr:rowOff>97079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AB44918C-3F5A-9BB2-85FF-35E79228E5D1}"/>
            </a:ext>
          </a:extLst>
        </xdr:cNvPr>
        <xdr:cNvGrpSpPr/>
      </xdr:nvGrpSpPr>
      <xdr:grpSpPr>
        <a:xfrm>
          <a:off x="7099847" y="3810003"/>
          <a:ext cx="5270976" cy="414576"/>
          <a:chOff x="7068097" y="5162553"/>
          <a:chExt cx="5083651" cy="411401"/>
        </a:xfrm>
      </xdr:grpSpPr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GrpSpPr/>
        </xdr:nvGrpSpPr>
        <xdr:grpSpPr>
          <a:xfrm rot="10800000">
            <a:off x="9209316" y="5162553"/>
            <a:ext cx="2554060" cy="363192"/>
            <a:chOff x="7493454" y="10987768"/>
            <a:chExt cx="2582635" cy="361831"/>
          </a:xfrm>
        </xdr:grpSpPr>
        <xdr:sp macro="" textlink="">
          <xdr:nvSpPr>
            <xdr:cNvPr id="182" name="Line 150">
              <a:extLst>
                <a:ext uri="{FF2B5EF4-FFF2-40B4-BE49-F238E27FC236}">
                  <a16:creationId xmlns:a16="http://schemas.microsoft.com/office/drawing/2014/main" id="{00000000-0008-0000-0200-0000B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8128548" y="10997256"/>
              <a:ext cx="157764" cy="352337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grpSp>
          <xdr:nvGrpSpPr>
            <xdr:cNvPr id="183" name="Group 194">
              <a:extLst>
                <a:ext uri="{FF2B5EF4-FFF2-40B4-BE49-F238E27FC236}">
                  <a16:creationId xmlns:a16="http://schemas.microsoft.com/office/drawing/2014/main" id="{00000000-0008-0000-0200-0000B7000000}"/>
                </a:ext>
              </a:extLst>
            </xdr:cNvPr>
            <xdr:cNvGrpSpPr/>
          </xdr:nvGrpSpPr>
          <xdr:grpSpPr>
            <a:xfrm rot="10800000">
              <a:off x="7493454" y="10987768"/>
              <a:ext cx="231668" cy="361831"/>
              <a:chOff x="9013075" y="4988623"/>
              <a:chExt cx="264885" cy="363192"/>
            </a:xfrm>
          </xdr:grpSpPr>
          <xdr:sp macro="" textlink="">
            <xdr:nvSpPr>
              <xdr:cNvPr id="189" name="Line 154">
                <a:extLst>
                  <a:ext uri="{FF2B5EF4-FFF2-40B4-BE49-F238E27FC236}">
                    <a16:creationId xmlns:a16="http://schemas.microsoft.com/office/drawing/2014/main" id="{00000000-0008-0000-0200-0000B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016391" y="4988623"/>
                <a:ext cx="0" cy="307642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90" name="Line 164">
                <a:extLst>
                  <a:ext uri="{FF2B5EF4-FFF2-40B4-BE49-F238E27FC236}">
                    <a16:creationId xmlns:a16="http://schemas.microsoft.com/office/drawing/2014/main" id="{00000000-0008-0000-0200-0000B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H="1">
                <a:off x="9115033" y="5188888"/>
                <a:ext cx="60969" cy="264885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grpSp>
          <xdr:nvGrpSpPr>
            <xdr:cNvPr id="184" name="Group 195">
              <a:extLst>
                <a:ext uri="{FF2B5EF4-FFF2-40B4-BE49-F238E27FC236}">
                  <a16:creationId xmlns:a16="http://schemas.microsoft.com/office/drawing/2014/main" id="{00000000-0008-0000-0200-0000B8000000}"/>
                </a:ext>
              </a:extLst>
            </xdr:cNvPr>
            <xdr:cNvGrpSpPr/>
          </xdr:nvGrpSpPr>
          <xdr:grpSpPr>
            <a:xfrm rot="10800000">
              <a:off x="9398434" y="11006751"/>
              <a:ext cx="240860" cy="342848"/>
              <a:chOff x="6824441" y="4988623"/>
              <a:chExt cx="275394" cy="344138"/>
            </a:xfrm>
          </xdr:grpSpPr>
          <xdr:sp macro="" textlink="">
            <xdr:nvSpPr>
              <xdr:cNvPr id="187" name="Line 154">
                <a:extLst>
                  <a:ext uri="{FF2B5EF4-FFF2-40B4-BE49-F238E27FC236}">
                    <a16:creationId xmlns:a16="http://schemas.microsoft.com/office/drawing/2014/main" id="{00000000-0008-0000-0200-0000B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093874" y="4988623"/>
                <a:ext cx="0" cy="307642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188" name="Line 164">
                <a:extLst>
                  <a:ext uri="{FF2B5EF4-FFF2-40B4-BE49-F238E27FC236}">
                    <a16:creationId xmlns:a16="http://schemas.microsoft.com/office/drawing/2014/main" id="{00000000-0008-0000-0200-0000B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>
                <a:off x="6945942" y="5178869"/>
                <a:ext cx="32391" cy="275394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 type="triangle"/>
                <a:tailEnd type="non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sp macro="" textlink="">
          <xdr:nvSpPr>
            <xdr:cNvPr id="185" name="Line 150">
              <a:extLst>
                <a:ext uri="{FF2B5EF4-FFF2-40B4-BE49-F238E27FC236}">
                  <a16:creationId xmlns:a16="http://schemas.microsoft.com/office/drawing/2014/main" id="{00000000-0008-0000-0200-0000B9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53146" y="10997256"/>
              <a:ext cx="185374" cy="352340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86" name="Freeform 84">
              <a:extLst>
                <a:ext uri="{FF2B5EF4-FFF2-40B4-BE49-F238E27FC236}">
                  <a16:creationId xmlns:a16="http://schemas.microsoft.com/office/drawing/2014/main" id="{00000000-0008-0000-0200-0000BA000000}"/>
                </a:ext>
              </a:extLst>
            </xdr:cNvPr>
            <xdr:cNvSpPr/>
          </xdr:nvSpPr>
          <xdr:spPr>
            <a:xfrm>
              <a:off x="9942739" y="11024676"/>
              <a:ext cx="133350" cy="324000"/>
            </a:xfrm>
            <a:custGeom>
              <a:avLst/>
              <a:gdLst>
                <a:gd name="connsiteX0" fmla="*/ 0 w 104775"/>
                <a:gd name="connsiteY0" fmla="*/ 304800 h 304800"/>
                <a:gd name="connsiteX1" fmla="*/ 0 w 104775"/>
                <a:gd name="connsiteY1" fmla="*/ 0 h 304800"/>
                <a:gd name="connsiteX2" fmla="*/ 104775 w 104775"/>
                <a:gd name="connsiteY2" fmla="*/ 9525 h 304800"/>
                <a:gd name="connsiteX3" fmla="*/ 104775 w 104775"/>
                <a:gd name="connsiteY3" fmla="*/ 190500 h 304800"/>
                <a:gd name="connsiteX0" fmla="*/ 0 w 114300"/>
                <a:gd name="connsiteY0" fmla="*/ 323850 h 323850"/>
                <a:gd name="connsiteX1" fmla="*/ 0 w 114300"/>
                <a:gd name="connsiteY1" fmla="*/ 19050 h 323850"/>
                <a:gd name="connsiteX2" fmla="*/ 114300 w 114300"/>
                <a:gd name="connsiteY2" fmla="*/ 0 h 323850"/>
                <a:gd name="connsiteX3" fmla="*/ 104775 w 114300"/>
                <a:gd name="connsiteY3" fmla="*/ 209550 h 323850"/>
                <a:gd name="connsiteX0" fmla="*/ 0 w 104775"/>
                <a:gd name="connsiteY0" fmla="*/ 305991 h 305991"/>
                <a:gd name="connsiteX1" fmla="*/ 0 w 104775"/>
                <a:gd name="connsiteY1" fmla="*/ 1191 h 305991"/>
                <a:gd name="connsiteX2" fmla="*/ 102394 w 104775"/>
                <a:gd name="connsiteY2" fmla="*/ 0 h 305991"/>
                <a:gd name="connsiteX3" fmla="*/ 104775 w 104775"/>
                <a:gd name="connsiteY3" fmla="*/ 191691 h 30599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04775" h="305991">
                  <a:moveTo>
                    <a:pt x="0" y="305991"/>
                  </a:moveTo>
                  <a:lnTo>
                    <a:pt x="0" y="1191"/>
                  </a:lnTo>
                  <a:lnTo>
                    <a:pt x="102394" y="0"/>
                  </a:lnTo>
                  <a:cubicBezTo>
                    <a:pt x="103188" y="63897"/>
                    <a:pt x="103981" y="127794"/>
                    <a:pt x="104775" y="191691"/>
                  </a:cubicBezTo>
                </a:path>
              </a:pathLst>
            </a:custGeom>
            <a:ln w="25400">
              <a:solidFill>
                <a:sysClr val="windowText" lastClr="00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ko-KR" altLang="en-US" sz="1100"/>
            </a:p>
          </xdr:txBody>
        </xdr:sp>
      </xdr:grpSp>
      <xdr:sp macro="" textlink="">
        <xdr:nvSpPr>
          <xdr:cNvPr id="191" name="AutoShape 186">
            <a:extLst>
              <a:ext uri="{FF2B5EF4-FFF2-40B4-BE49-F238E27FC236}">
                <a16:creationId xmlns:a16="http://schemas.microsoft.com/office/drawing/2014/main" id="{00000000-0008-0000-0200-0000BF000000}"/>
              </a:ext>
            </a:extLst>
          </xdr:cNvPr>
          <xdr:cNvSpPr>
            <a:spLocks noChangeArrowheads="1"/>
          </xdr:cNvSpPr>
        </xdr:nvSpPr>
        <xdr:spPr bwMode="auto">
          <a:xfrm rot="16200000" flipV="1">
            <a:off x="6943897" y="5338154"/>
            <a:ext cx="360000" cy="111600"/>
          </a:xfrm>
          <a:prstGeom prst="rightArrow">
            <a:avLst>
              <a:gd name="adj1" fmla="val 50000"/>
              <a:gd name="adj2" fmla="val 9529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sp macro="" textlink="">
        <xdr:nvSpPr>
          <xdr:cNvPr id="192" name="AutoShape 186">
            <a:extLst>
              <a:ext uri="{FF2B5EF4-FFF2-40B4-BE49-F238E27FC236}">
                <a16:creationId xmlns:a16="http://schemas.microsoft.com/office/drawing/2014/main" id="{00000000-0008-0000-0200-0000C0000000}"/>
              </a:ext>
            </a:extLst>
          </xdr:cNvPr>
          <xdr:cNvSpPr>
            <a:spLocks noChangeArrowheads="1"/>
          </xdr:cNvSpPr>
        </xdr:nvSpPr>
        <xdr:spPr bwMode="auto">
          <a:xfrm rot="5400000" flipV="1">
            <a:off x="11915948" y="5319104"/>
            <a:ext cx="360000" cy="111600"/>
          </a:xfrm>
          <a:prstGeom prst="rightArrow">
            <a:avLst>
              <a:gd name="adj1" fmla="val 50000"/>
              <a:gd name="adj2" fmla="val 9529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9525</xdr:colOff>
      <xdr:row>23</xdr:row>
      <xdr:rowOff>95249</xdr:rowOff>
    </xdr:from>
    <xdr:to>
      <xdr:col>18</xdr:col>
      <xdr:colOff>278920</xdr:colOff>
      <xdr:row>48</xdr:row>
      <xdr:rowOff>6474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182E40DF-9D47-0745-B10E-D137986261F9}"/>
            </a:ext>
          </a:extLst>
        </xdr:cNvPr>
        <xdr:cNvGrpSpPr/>
      </xdr:nvGrpSpPr>
      <xdr:grpSpPr>
        <a:xfrm>
          <a:off x="3486150" y="4540249"/>
          <a:ext cx="396395" cy="4165725"/>
          <a:chOff x="4572000" y="5438774"/>
          <a:chExt cx="393220" cy="4140325"/>
        </a:xfrm>
      </xdr:grpSpPr>
      <xdr:sp macro="" textlink="">
        <xdr:nvSpPr>
          <xdr:cNvPr id="204" name="AutoShape 83">
            <a:extLst>
              <a:ext uri="{FF2B5EF4-FFF2-40B4-BE49-F238E27FC236}">
                <a16:creationId xmlns:a16="http://schemas.microsoft.com/office/drawing/2014/main" id="{00000000-0008-0000-0200-0000CC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4595696" y="5438774"/>
            <a:ext cx="360000" cy="110148"/>
          </a:xfrm>
          <a:prstGeom prst="rightArrow">
            <a:avLst>
              <a:gd name="adj1" fmla="val 50000"/>
              <a:gd name="adj2" fmla="val 8653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sp macro="" textlink="">
        <xdr:nvSpPr>
          <xdr:cNvPr id="205" name="AutoShape 86">
            <a:extLst>
              <a:ext uri="{FF2B5EF4-FFF2-40B4-BE49-F238E27FC236}">
                <a16:creationId xmlns:a16="http://schemas.microsoft.com/office/drawing/2014/main" id="{00000000-0008-0000-0200-0000CD000000}"/>
              </a:ext>
            </a:extLst>
          </xdr:cNvPr>
          <xdr:cNvSpPr>
            <a:spLocks noChangeArrowheads="1"/>
          </xdr:cNvSpPr>
        </xdr:nvSpPr>
        <xdr:spPr bwMode="auto">
          <a:xfrm flipH="1" flipV="1">
            <a:off x="4605220" y="9467499"/>
            <a:ext cx="360000" cy="111600"/>
          </a:xfrm>
          <a:prstGeom prst="rightArrow">
            <a:avLst>
              <a:gd name="adj1" fmla="val 50000"/>
              <a:gd name="adj2" fmla="val 82692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grpSp>
        <xdr:nvGrpSpPr>
          <xdr:cNvPr id="225" name="그룹 224">
            <a:extLst>
              <a:ext uri="{FF2B5EF4-FFF2-40B4-BE49-F238E27FC236}">
                <a16:creationId xmlns:a16="http://schemas.microsoft.com/office/drawing/2014/main" id="{00000000-0008-0000-0200-0000E1000000}"/>
              </a:ext>
            </a:extLst>
          </xdr:cNvPr>
          <xdr:cNvGrpSpPr/>
        </xdr:nvGrpSpPr>
        <xdr:grpSpPr>
          <a:xfrm rot="10800000">
            <a:off x="4572000" y="5800725"/>
            <a:ext cx="381064" cy="2325197"/>
            <a:chOff x="14258936" y="8409458"/>
            <a:chExt cx="381064" cy="2325197"/>
          </a:xfrm>
        </xdr:grpSpPr>
        <xdr:grpSp>
          <xdr:nvGrpSpPr>
            <xdr:cNvPr id="226" name="Group 175">
              <a:extLst>
                <a:ext uri="{FF2B5EF4-FFF2-40B4-BE49-F238E27FC236}">
                  <a16:creationId xmlns:a16="http://schemas.microsoft.com/office/drawing/2014/main" id="{00000000-0008-0000-0200-0000E2000000}"/>
                </a:ext>
              </a:extLst>
            </xdr:cNvPr>
            <xdr:cNvGrpSpPr/>
          </xdr:nvGrpSpPr>
          <xdr:grpSpPr>
            <a:xfrm>
              <a:off x="14258936" y="10530495"/>
              <a:ext cx="381008" cy="204160"/>
              <a:chOff x="18047499" y="14232227"/>
              <a:chExt cx="455083" cy="313251"/>
            </a:xfrm>
          </xdr:grpSpPr>
          <xdr:sp macro="" textlink="">
            <xdr:nvSpPr>
              <xdr:cNvPr id="233" name="Line 154">
                <a:extLst>
                  <a:ext uri="{FF2B5EF4-FFF2-40B4-BE49-F238E27FC236}">
                    <a16:creationId xmlns:a16="http://schemas.microsoft.com/office/drawing/2014/main" id="{00000000-0008-0000-0200-0000E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>
                <a:off x="18322728" y="14057385"/>
                <a:ext cx="0" cy="359709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234" name="Line 164">
                <a:extLst>
                  <a:ext uri="{FF2B5EF4-FFF2-40B4-BE49-F238E27FC236}">
                    <a16:creationId xmlns:a16="http://schemas.microsoft.com/office/drawing/2014/main" id="{00000000-0008-0000-0200-0000E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047499" y="14232227"/>
                <a:ext cx="90574" cy="313251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grpSp>
          <xdr:nvGrpSpPr>
            <xdr:cNvPr id="227" name="Group 176">
              <a:extLst>
                <a:ext uri="{FF2B5EF4-FFF2-40B4-BE49-F238E27FC236}">
                  <a16:creationId xmlns:a16="http://schemas.microsoft.com/office/drawing/2014/main" id="{00000000-0008-0000-0200-0000E3000000}"/>
                </a:ext>
              </a:extLst>
            </xdr:cNvPr>
            <xdr:cNvGrpSpPr/>
          </xdr:nvGrpSpPr>
          <xdr:grpSpPr>
            <a:xfrm>
              <a:off x="14334750" y="8839197"/>
              <a:ext cx="305177" cy="206689"/>
              <a:chOff x="18138073" y="12397641"/>
              <a:chExt cx="364509" cy="317129"/>
            </a:xfrm>
          </xdr:grpSpPr>
          <xdr:sp macro="" textlink="">
            <xdr:nvSpPr>
              <xdr:cNvPr id="231" name="Line 153">
                <a:extLst>
                  <a:ext uri="{FF2B5EF4-FFF2-40B4-BE49-F238E27FC236}">
                    <a16:creationId xmlns:a16="http://schemas.microsoft.com/office/drawing/2014/main" id="{00000000-0008-0000-0200-0000E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>
                <a:off x="18322582" y="12534770"/>
                <a:ext cx="0" cy="360000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232" name="Line 170">
                <a:extLst>
                  <a:ext uri="{FF2B5EF4-FFF2-40B4-BE49-F238E27FC236}">
                    <a16:creationId xmlns:a16="http://schemas.microsoft.com/office/drawing/2014/main" id="{00000000-0008-0000-0200-0000E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8138073" y="12397641"/>
                <a:ext cx="102839" cy="317044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sp macro="" textlink="">
          <xdr:nvSpPr>
            <xdr:cNvPr id="228" name="Line 150">
              <a:extLst>
                <a:ext uri="{FF2B5EF4-FFF2-40B4-BE49-F238E27FC236}">
                  <a16:creationId xmlns:a16="http://schemas.microsoft.com/office/drawing/2014/main" id="{00000000-0008-0000-0200-0000E4000000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14416496" y="9307848"/>
              <a:ext cx="85352" cy="361500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9" name="Line 150">
              <a:extLst>
                <a:ext uri="{FF2B5EF4-FFF2-40B4-BE49-F238E27FC236}">
                  <a16:creationId xmlns:a16="http://schemas.microsoft.com/office/drawing/2014/main" id="{00000000-0008-0000-0200-0000E5000000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14459851" y="9880931"/>
              <a:ext cx="0" cy="360141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30" name="Freeform 89">
              <a:extLst>
                <a:ext uri="{FF2B5EF4-FFF2-40B4-BE49-F238E27FC236}">
                  <a16:creationId xmlns:a16="http://schemas.microsoft.com/office/drawing/2014/main" id="{00000000-0008-0000-0200-0000E6000000}"/>
                </a:ext>
              </a:extLst>
            </xdr:cNvPr>
            <xdr:cNvSpPr/>
          </xdr:nvSpPr>
          <xdr:spPr>
            <a:xfrm rot="16200000">
              <a:off x="14411325" y="8314133"/>
              <a:ext cx="133350" cy="324000"/>
            </a:xfrm>
            <a:custGeom>
              <a:avLst/>
              <a:gdLst>
                <a:gd name="connsiteX0" fmla="*/ 0 w 104775"/>
                <a:gd name="connsiteY0" fmla="*/ 304800 h 304800"/>
                <a:gd name="connsiteX1" fmla="*/ 0 w 104775"/>
                <a:gd name="connsiteY1" fmla="*/ 0 h 304800"/>
                <a:gd name="connsiteX2" fmla="*/ 104775 w 104775"/>
                <a:gd name="connsiteY2" fmla="*/ 9525 h 304800"/>
                <a:gd name="connsiteX3" fmla="*/ 104775 w 104775"/>
                <a:gd name="connsiteY3" fmla="*/ 190500 h 304800"/>
                <a:gd name="connsiteX0" fmla="*/ 0 w 114300"/>
                <a:gd name="connsiteY0" fmla="*/ 323850 h 323850"/>
                <a:gd name="connsiteX1" fmla="*/ 0 w 114300"/>
                <a:gd name="connsiteY1" fmla="*/ 19050 h 323850"/>
                <a:gd name="connsiteX2" fmla="*/ 114300 w 114300"/>
                <a:gd name="connsiteY2" fmla="*/ 0 h 323850"/>
                <a:gd name="connsiteX3" fmla="*/ 104775 w 114300"/>
                <a:gd name="connsiteY3" fmla="*/ 209550 h 323850"/>
                <a:gd name="connsiteX0" fmla="*/ 0 w 104775"/>
                <a:gd name="connsiteY0" fmla="*/ 305991 h 305991"/>
                <a:gd name="connsiteX1" fmla="*/ 0 w 104775"/>
                <a:gd name="connsiteY1" fmla="*/ 1191 h 305991"/>
                <a:gd name="connsiteX2" fmla="*/ 102394 w 104775"/>
                <a:gd name="connsiteY2" fmla="*/ 0 h 305991"/>
                <a:gd name="connsiteX3" fmla="*/ 104775 w 104775"/>
                <a:gd name="connsiteY3" fmla="*/ 191691 h 30599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04775" h="305991">
                  <a:moveTo>
                    <a:pt x="0" y="305991"/>
                  </a:moveTo>
                  <a:lnTo>
                    <a:pt x="0" y="1191"/>
                  </a:lnTo>
                  <a:lnTo>
                    <a:pt x="102394" y="0"/>
                  </a:lnTo>
                  <a:cubicBezTo>
                    <a:pt x="103188" y="63897"/>
                    <a:pt x="103981" y="127794"/>
                    <a:pt x="104775" y="191691"/>
                  </a:cubicBezTo>
                </a:path>
              </a:pathLst>
            </a:custGeom>
            <a:ln w="25400">
              <a:solidFill>
                <a:sysClr val="windowText" lastClr="00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ko-KR" altLang="en-US" sz="1100"/>
            </a:p>
          </xdr:txBody>
        </xdr:sp>
      </xdr:grpSp>
    </xdr:grpSp>
    <xdr:clientData/>
  </xdr:twoCellAnchor>
  <xdr:twoCellAnchor>
    <xdr:from>
      <xdr:col>60</xdr:col>
      <xdr:colOff>142875</xdr:colOff>
      <xdr:row>23</xdr:row>
      <xdr:rowOff>114299</xdr:rowOff>
    </xdr:from>
    <xdr:to>
      <xdr:col>61</xdr:col>
      <xdr:colOff>114365</xdr:colOff>
      <xdr:row>48</xdr:row>
      <xdr:rowOff>54099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97FDBDF0-83AB-386B-7D95-1F07A3C48C44}"/>
            </a:ext>
          </a:extLst>
        </xdr:cNvPr>
        <xdr:cNvGrpSpPr/>
      </xdr:nvGrpSpPr>
      <xdr:grpSpPr>
        <a:xfrm>
          <a:off x="15668625" y="4559299"/>
          <a:ext cx="400115" cy="4194300"/>
          <a:chOff x="14239875" y="5410199"/>
          <a:chExt cx="400115" cy="4168900"/>
        </a:xfrm>
      </xdr:grpSpPr>
      <xdr:grpSp>
        <xdr:nvGrpSpPr>
          <xdr:cNvPr id="236" name="그룹 235">
            <a:extLst>
              <a:ext uri="{FF2B5EF4-FFF2-40B4-BE49-F238E27FC236}">
                <a16:creationId xmlns:a16="http://schemas.microsoft.com/office/drawing/2014/main" id="{00000000-0008-0000-0200-0000EC000000}"/>
              </a:ext>
            </a:extLst>
          </xdr:cNvPr>
          <xdr:cNvGrpSpPr/>
        </xdr:nvGrpSpPr>
        <xdr:grpSpPr>
          <a:xfrm rot="10800000">
            <a:off x="14258925" y="6896100"/>
            <a:ext cx="381065" cy="2328436"/>
            <a:chOff x="4571925" y="7334240"/>
            <a:chExt cx="381065" cy="2322993"/>
          </a:xfrm>
        </xdr:grpSpPr>
        <xdr:sp macro="" textlink="">
          <xdr:nvSpPr>
            <xdr:cNvPr id="237" name="Line 150">
              <a:extLst>
                <a:ext uri="{FF2B5EF4-FFF2-40B4-BE49-F238E27FC236}">
                  <a16:creationId xmlns:a16="http://schemas.microsoft.com/office/drawing/2014/main" id="{00000000-0008-0000-0200-0000ED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 flipV="1">
              <a:off x="4713507" y="7832588"/>
              <a:ext cx="82249" cy="362788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grpSp>
          <xdr:nvGrpSpPr>
            <xdr:cNvPr id="238" name="Group 82">
              <a:extLst>
                <a:ext uri="{FF2B5EF4-FFF2-40B4-BE49-F238E27FC236}">
                  <a16:creationId xmlns:a16="http://schemas.microsoft.com/office/drawing/2014/main" id="{00000000-0008-0000-0200-0000EE000000}"/>
                </a:ext>
              </a:extLst>
            </xdr:cNvPr>
            <xdr:cNvGrpSpPr/>
          </xdr:nvGrpSpPr>
          <xdr:grpSpPr>
            <a:xfrm rot="10800000">
              <a:off x="4573236" y="7334240"/>
              <a:ext cx="288389" cy="226498"/>
              <a:chOff x="18138074" y="14232227"/>
              <a:chExt cx="364508" cy="347523"/>
            </a:xfrm>
          </xdr:grpSpPr>
          <xdr:sp macro="" textlink="">
            <xdr:nvSpPr>
              <xdr:cNvPr id="244" name="Line 154">
                <a:extLst>
                  <a:ext uri="{FF2B5EF4-FFF2-40B4-BE49-F238E27FC236}">
                    <a16:creationId xmlns:a16="http://schemas.microsoft.com/office/drawing/2014/main" id="{00000000-0008-0000-0200-0000F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>
                <a:off x="18322728" y="14057385"/>
                <a:ext cx="0" cy="359709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245" name="Line 164">
                <a:extLst>
                  <a:ext uri="{FF2B5EF4-FFF2-40B4-BE49-F238E27FC236}">
                    <a16:creationId xmlns:a16="http://schemas.microsoft.com/office/drawing/2014/main" id="{00000000-0008-0000-0200-0000F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8138074" y="14232227"/>
                <a:ext cx="89169" cy="347523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grpSp>
          <xdr:nvGrpSpPr>
            <xdr:cNvPr id="239" name="Group 83">
              <a:extLst>
                <a:ext uri="{FF2B5EF4-FFF2-40B4-BE49-F238E27FC236}">
                  <a16:creationId xmlns:a16="http://schemas.microsoft.com/office/drawing/2014/main" id="{00000000-0008-0000-0200-0000EF000000}"/>
                </a:ext>
              </a:extLst>
            </xdr:cNvPr>
            <xdr:cNvGrpSpPr/>
          </xdr:nvGrpSpPr>
          <xdr:grpSpPr>
            <a:xfrm rot="10800000">
              <a:off x="4573225" y="9045401"/>
              <a:ext cx="379765" cy="212907"/>
              <a:chOff x="18022580" y="12388099"/>
              <a:chExt cx="480002" cy="326671"/>
            </a:xfrm>
          </xdr:grpSpPr>
          <xdr:sp macro="" textlink="">
            <xdr:nvSpPr>
              <xdr:cNvPr id="242" name="Line 153">
                <a:extLst>
                  <a:ext uri="{FF2B5EF4-FFF2-40B4-BE49-F238E27FC236}">
                    <a16:creationId xmlns:a16="http://schemas.microsoft.com/office/drawing/2014/main" id="{00000000-0008-0000-0200-0000F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>
                <a:off x="18322582" y="12534770"/>
                <a:ext cx="0" cy="360000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243" name="Line 170">
                <a:extLst>
                  <a:ext uri="{FF2B5EF4-FFF2-40B4-BE49-F238E27FC236}">
                    <a16:creationId xmlns:a16="http://schemas.microsoft.com/office/drawing/2014/main" id="{00000000-0008-0000-0200-0000F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18022580" y="12388099"/>
                <a:ext cx="115494" cy="326588"/>
              </a:xfrm>
              <a:prstGeom prst="line">
                <a:avLst/>
              </a:prstGeom>
              <a:noFill/>
              <a:ln w="25400">
                <a:solidFill>
                  <a:srgbClr val="000000"/>
                </a:solidFill>
                <a:round/>
                <a:headEnd/>
                <a:tailEnd type="triangle" w="med" len="med"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xdr:grpSp>
        <xdr:sp macro="" textlink="">
          <xdr:nvSpPr>
            <xdr:cNvPr id="240" name="Line 150">
              <a:extLst>
                <a:ext uri="{FF2B5EF4-FFF2-40B4-BE49-F238E27FC236}">
                  <a16:creationId xmlns:a16="http://schemas.microsoft.com/office/drawing/2014/main" id="{00000000-0008-0000-0200-0000F0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742583" y="8390656"/>
              <a:ext cx="31546" cy="370241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41" name="Freeform 92">
              <a:extLst>
                <a:ext uri="{FF2B5EF4-FFF2-40B4-BE49-F238E27FC236}">
                  <a16:creationId xmlns:a16="http://schemas.microsoft.com/office/drawing/2014/main" id="{00000000-0008-0000-0200-0000F1000000}"/>
                </a:ext>
              </a:extLst>
            </xdr:cNvPr>
            <xdr:cNvSpPr/>
          </xdr:nvSpPr>
          <xdr:spPr>
            <a:xfrm rot="5400000">
              <a:off x="4667250" y="9428558"/>
              <a:ext cx="133350" cy="324000"/>
            </a:xfrm>
            <a:custGeom>
              <a:avLst/>
              <a:gdLst>
                <a:gd name="connsiteX0" fmla="*/ 0 w 104775"/>
                <a:gd name="connsiteY0" fmla="*/ 304800 h 304800"/>
                <a:gd name="connsiteX1" fmla="*/ 0 w 104775"/>
                <a:gd name="connsiteY1" fmla="*/ 0 h 304800"/>
                <a:gd name="connsiteX2" fmla="*/ 104775 w 104775"/>
                <a:gd name="connsiteY2" fmla="*/ 9525 h 304800"/>
                <a:gd name="connsiteX3" fmla="*/ 104775 w 104775"/>
                <a:gd name="connsiteY3" fmla="*/ 190500 h 304800"/>
                <a:gd name="connsiteX0" fmla="*/ 0 w 114300"/>
                <a:gd name="connsiteY0" fmla="*/ 323850 h 323850"/>
                <a:gd name="connsiteX1" fmla="*/ 0 w 114300"/>
                <a:gd name="connsiteY1" fmla="*/ 19050 h 323850"/>
                <a:gd name="connsiteX2" fmla="*/ 114300 w 114300"/>
                <a:gd name="connsiteY2" fmla="*/ 0 h 323850"/>
                <a:gd name="connsiteX3" fmla="*/ 104775 w 114300"/>
                <a:gd name="connsiteY3" fmla="*/ 209550 h 323850"/>
                <a:gd name="connsiteX0" fmla="*/ 0 w 104775"/>
                <a:gd name="connsiteY0" fmla="*/ 305991 h 305991"/>
                <a:gd name="connsiteX1" fmla="*/ 0 w 104775"/>
                <a:gd name="connsiteY1" fmla="*/ 1191 h 305991"/>
                <a:gd name="connsiteX2" fmla="*/ 102394 w 104775"/>
                <a:gd name="connsiteY2" fmla="*/ 0 h 305991"/>
                <a:gd name="connsiteX3" fmla="*/ 104775 w 104775"/>
                <a:gd name="connsiteY3" fmla="*/ 191691 h 30599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04775" h="305991">
                  <a:moveTo>
                    <a:pt x="0" y="305991"/>
                  </a:moveTo>
                  <a:lnTo>
                    <a:pt x="0" y="1191"/>
                  </a:lnTo>
                  <a:lnTo>
                    <a:pt x="102394" y="0"/>
                  </a:lnTo>
                  <a:cubicBezTo>
                    <a:pt x="103188" y="63897"/>
                    <a:pt x="103981" y="127794"/>
                    <a:pt x="104775" y="191691"/>
                  </a:cubicBezTo>
                </a:path>
              </a:pathLst>
            </a:custGeom>
            <a:ln w="25400">
              <a:solidFill>
                <a:sysClr val="windowText" lastClr="00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lang="ko-KR" altLang="en-US" sz="1100"/>
            </a:p>
          </xdr:txBody>
        </xdr:sp>
      </xdr:grpSp>
      <xdr:sp macro="" textlink="">
        <xdr:nvSpPr>
          <xdr:cNvPr id="247" name="AutoShape 83">
            <a:extLst>
              <a:ext uri="{FF2B5EF4-FFF2-40B4-BE49-F238E27FC236}">
                <a16:creationId xmlns:a16="http://schemas.microsoft.com/office/drawing/2014/main" id="{00000000-0008-0000-0200-0000F7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14239875" y="5410199"/>
            <a:ext cx="360000" cy="110148"/>
          </a:xfrm>
          <a:prstGeom prst="rightArrow">
            <a:avLst>
              <a:gd name="adj1" fmla="val 50000"/>
              <a:gd name="adj2" fmla="val 86538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  <xdr:sp macro="" textlink="">
        <xdr:nvSpPr>
          <xdr:cNvPr id="248" name="AutoShape 86">
            <a:extLst>
              <a:ext uri="{FF2B5EF4-FFF2-40B4-BE49-F238E27FC236}">
                <a16:creationId xmlns:a16="http://schemas.microsoft.com/office/drawing/2014/main" id="{00000000-0008-0000-0200-0000F8000000}"/>
              </a:ext>
            </a:extLst>
          </xdr:cNvPr>
          <xdr:cNvSpPr>
            <a:spLocks noChangeArrowheads="1"/>
          </xdr:cNvSpPr>
        </xdr:nvSpPr>
        <xdr:spPr bwMode="auto">
          <a:xfrm flipH="1" flipV="1">
            <a:off x="14258692" y="9467499"/>
            <a:ext cx="360000" cy="111600"/>
          </a:xfrm>
          <a:prstGeom prst="rightArrow">
            <a:avLst>
              <a:gd name="adj1" fmla="val 50000"/>
              <a:gd name="adj2" fmla="val 82692"/>
            </a:avLst>
          </a:prstGeom>
          <a:solidFill>
            <a:srgbClr val="3333FF"/>
          </a:solidFill>
          <a:ln w="38100">
            <a:solidFill>
              <a:srgbClr val="3333FF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67</xdr:col>
      <xdr:colOff>129020</xdr:colOff>
      <xdr:row>32</xdr:row>
      <xdr:rowOff>18222</xdr:rowOff>
    </xdr:from>
    <xdr:to>
      <xdr:col>67</xdr:col>
      <xdr:colOff>129020</xdr:colOff>
      <xdr:row>39</xdr:row>
      <xdr:rowOff>171450</xdr:rowOff>
    </xdr:to>
    <xdr:sp macro="" textlink="">
      <xdr:nvSpPr>
        <xdr:cNvPr id="249" name="Line 204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>
          <a:spLocks noChangeShapeType="1"/>
        </xdr:cNvSpPr>
      </xdr:nvSpPr>
      <xdr:spPr bwMode="auto">
        <a:xfrm>
          <a:off x="16940645" y="8876472"/>
          <a:ext cx="0" cy="1353378"/>
        </a:xfrm>
        <a:prstGeom prst="line">
          <a:avLst/>
        </a:prstGeom>
        <a:noFill/>
        <a:ln w="31750">
          <a:solidFill>
            <a:srgbClr val="FF0000"/>
          </a:solidFill>
          <a:prstDash val="sysDot"/>
          <a:round/>
          <a:headEnd type="triangle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142057</xdr:colOff>
      <xdr:row>10</xdr:row>
      <xdr:rowOff>161976</xdr:rowOff>
    </xdr:from>
    <xdr:to>
      <xdr:col>70</xdr:col>
      <xdr:colOff>114299</xdr:colOff>
      <xdr:row>74</xdr:row>
      <xdr:rowOff>19050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/>
      </xdr:nvGrpSpPr>
      <xdr:grpSpPr>
        <a:xfrm>
          <a:off x="1840682" y="2273351"/>
          <a:ext cx="16101242" cy="10906074"/>
          <a:chOff x="1885155" y="2303318"/>
          <a:chExt cx="15691057" cy="12022117"/>
        </a:xfrm>
      </xdr:grpSpPr>
      <xdr:grpSp>
        <xdr:nvGrpSpPr>
          <xdr:cNvPr id="251" name="Group 14338">
            <a:extLst>
              <a:ext uri="{FF2B5EF4-FFF2-40B4-BE49-F238E27FC236}">
                <a16:creationId xmlns:a16="http://schemas.microsoft.com/office/drawing/2014/main" id="{00000000-0008-0000-0200-0000FB000000}"/>
              </a:ext>
            </a:extLst>
          </xdr:cNvPr>
          <xdr:cNvGrpSpPr/>
        </xdr:nvGrpSpPr>
        <xdr:grpSpPr>
          <a:xfrm rot="10800000">
            <a:off x="13204832" y="2303318"/>
            <a:ext cx="4256854" cy="3679181"/>
            <a:chOff x="3294754" y="9724843"/>
            <a:chExt cx="3856841" cy="3260737"/>
          </a:xfrm>
        </xdr:grpSpPr>
        <xdr:sp macro="" textlink="">
          <xdr:nvSpPr>
            <xdr:cNvPr id="264" name="Freeform 27">
              <a:extLst>
                <a:ext uri="{FF2B5EF4-FFF2-40B4-BE49-F238E27FC236}">
                  <a16:creationId xmlns:a16="http://schemas.microsoft.com/office/drawing/2014/main" id="{00000000-0008-0000-0200-000008010000}"/>
                </a:ext>
              </a:extLst>
            </xdr:cNvPr>
            <xdr:cNvSpPr/>
          </xdr:nvSpPr>
          <xdr:spPr>
            <a:xfrm flipH="1">
              <a:off x="7062120" y="9724843"/>
              <a:ext cx="89475" cy="3260737"/>
            </a:xfrm>
            <a:custGeom>
              <a:avLst/>
              <a:gdLst>
                <a:gd name="connsiteX0" fmla="*/ 0 w 9525"/>
                <a:gd name="connsiteY0" fmla="*/ 0 h 3209925"/>
                <a:gd name="connsiteX1" fmla="*/ 9525 w 9525"/>
                <a:gd name="connsiteY1" fmla="*/ 3209925 h 3209925"/>
                <a:gd name="connsiteX2" fmla="*/ 9525 w 9525"/>
                <a:gd name="connsiteY2" fmla="*/ 3209925 h 32099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9525" h="3209925">
                  <a:moveTo>
                    <a:pt x="0" y="0"/>
                  </a:moveTo>
                  <a:lnTo>
                    <a:pt x="9525" y="3209925"/>
                  </a:lnTo>
                  <a:lnTo>
                    <a:pt x="9525" y="3209925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265" name="Freeform 14335">
              <a:extLst>
                <a:ext uri="{FF2B5EF4-FFF2-40B4-BE49-F238E27FC236}">
                  <a16:creationId xmlns:a16="http://schemas.microsoft.com/office/drawing/2014/main" id="{00000000-0008-0000-0200-000009010000}"/>
                </a:ext>
              </a:extLst>
            </xdr:cNvPr>
            <xdr:cNvSpPr/>
          </xdr:nvSpPr>
          <xdr:spPr>
            <a:xfrm>
              <a:off x="3294754" y="9725028"/>
              <a:ext cx="3856839" cy="1857418"/>
            </a:xfrm>
            <a:custGeom>
              <a:avLst/>
              <a:gdLst>
                <a:gd name="connsiteX0" fmla="*/ 4400550 w 4400550"/>
                <a:gd name="connsiteY0" fmla="*/ 0 h 2038350"/>
                <a:gd name="connsiteX1" fmla="*/ 2181225 w 4400550"/>
                <a:gd name="connsiteY1" fmla="*/ 1419225 h 2038350"/>
                <a:gd name="connsiteX2" fmla="*/ 0 w 4400550"/>
                <a:gd name="connsiteY2" fmla="*/ 2038350 h 2038350"/>
                <a:gd name="connsiteX0" fmla="*/ 4400550 w 4400550"/>
                <a:gd name="connsiteY0" fmla="*/ 0 h 2038350"/>
                <a:gd name="connsiteX1" fmla="*/ 2181225 w 4400550"/>
                <a:gd name="connsiteY1" fmla="*/ 1419225 h 2038350"/>
                <a:gd name="connsiteX2" fmla="*/ 0 w 4400550"/>
                <a:gd name="connsiteY2" fmla="*/ 2038350 h 2038350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4321478" h="2196966">
                  <a:moveTo>
                    <a:pt x="4321478" y="0"/>
                  </a:moveTo>
                  <a:cubicBezTo>
                    <a:pt x="3578528" y="539750"/>
                    <a:pt x="2835577" y="1051508"/>
                    <a:pt x="2102153" y="1419225"/>
                  </a:cubicBezTo>
                  <a:cubicBezTo>
                    <a:pt x="1368729" y="1786942"/>
                    <a:pt x="383546" y="2169814"/>
                    <a:pt x="0" y="2196966"/>
                  </a:cubicBez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252" name="Group 14339">
            <a:extLst>
              <a:ext uri="{FF2B5EF4-FFF2-40B4-BE49-F238E27FC236}">
                <a16:creationId xmlns:a16="http://schemas.microsoft.com/office/drawing/2014/main" id="{00000000-0008-0000-0200-0000FC000000}"/>
              </a:ext>
            </a:extLst>
          </xdr:cNvPr>
          <xdr:cNvGrpSpPr/>
        </xdr:nvGrpSpPr>
        <xdr:grpSpPr>
          <a:xfrm rot="10800000">
            <a:off x="2010043" y="2381759"/>
            <a:ext cx="4208238" cy="3600740"/>
            <a:chOff x="13626353" y="9724843"/>
            <a:chExt cx="3807382" cy="3191134"/>
          </a:xfrm>
        </xdr:grpSpPr>
        <xdr:sp macro="" textlink="">
          <xdr:nvSpPr>
            <xdr:cNvPr id="262" name="Freeform 204">
              <a:extLst>
                <a:ext uri="{FF2B5EF4-FFF2-40B4-BE49-F238E27FC236}">
                  <a16:creationId xmlns:a16="http://schemas.microsoft.com/office/drawing/2014/main" id="{00000000-0008-0000-0200-000006010000}"/>
                </a:ext>
              </a:extLst>
            </xdr:cNvPr>
            <xdr:cNvSpPr/>
          </xdr:nvSpPr>
          <xdr:spPr>
            <a:xfrm>
              <a:off x="13626353" y="9724843"/>
              <a:ext cx="90352" cy="3191134"/>
            </a:xfrm>
            <a:custGeom>
              <a:avLst/>
              <a:gdLst>
                <a:gd name="connsiteX0" fmla="*/ 0 w 9525"/>
                <a:gd name="connsiteY0" fmla="*/ 0 h 3209925"/>
                <a:gd name="connsiteX1" fmla="*/ 9525 w 9525"/>
                <a:gd name="connsiteY1" fmla="*/ 3209925 h 3209925"/>
                <a:gd name="connsiteX2" fmla="*/ 9525 w 9525"/>
                <a:gd name="connsiteY2" fmla="*/ 3209925 h 32099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9525" h="3209925">
                  <a:moveTo>
                    <a:pt x="0" y="0"/>
                  </a:moveTo>
                  <a:lnTo>
                    <a:pt x="9525" y="3209925"/>
                  </a:lnTo>
                  <a:lnTo>
                    <a:pt x="9525" y="3209925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263" name="Freeform 14337">
              <a:extLst>
                <a:ext uri="{FF2B5EF4-FFF2-40B4-BE49-F238E27FC236}">
                  <a16:creationId xmlns:a16="http://schemas.microsoft.com/office/drawing/2014/main" id="{00000000-0008-0000-0200-000007010000}"/>
                </a:ext>
              </a:extLst>
            </xdr:cNvPr>
            <xdr:cNvSpPr/>
          </xdr:nvSpPr>
          <xdr:spPr>
            <a:xfrm>
              <a:off x="13626354" y="9725027"/>
              <a:ext cx="3807381" cy="1754472"/>
            </a:xfrm>
            <a:custGeom>
              <a:avLst/>
              <a:gdLst>
                <a:gd name="connsiteX0" fmla="*/ 0 w 4648200"/>
                <a:gd name="connsiteY0" fmla="*/ 0 h 2371725"/>
                <a:gd name="connsiteX1" fmla="*/ 2305050 w 4648200"/>
                <a:gd name="connsiteY1" fmla="*/ 1628775 h 2371725"/>
                <a:gd name="connsiteX2" fmla="*/ 4648200 w 4648200"/>
                <a:gd name="connsiteY2" fmla="*/ 2371725 h 2371725"/>
                <a:gd name="connsiteX0" fmla="*/ 0 w 4648200"/>
                <a:gd name="connsiteY0" fmla="*/ 0 h 2372047"/>
                <a:gd name="connsiteX1" fmla="*/ 2305050 w 4648200"/>
                <a:gd name="connsiteY1" fmla="*/ 1628775 h 2372047"/>
                <a:gd name="connsiteX2" fmla="*/ 4648200 w 4648200"/>
                <a:gd name="connsiteY2" fmla="*/ 2371725 h 237204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4648200" h="2372047">
                  <a:moveTo>
                    <a:pt x="0" y="0"/>
                  </a:moveTo>
                  <a:cubicBezTo>
                    <a:pt x="765175" y="616744"/>
                    <a:pt x="1530350" y="1233488"/>
                    <a:pt x="2305050" y="1628775"/>
                  </a:cubicBezTo>
                  <a:cubicBezTo>
                    <a:pt x="3079750" y="2024062"/>
                    <a:pt x="4337209" y="2384381"/>
                    <a:pt x="4648200" y="2371725"/>
                  </a:cubicBez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253" name="Group 14343">
            <a:extLst>
              <a:ext uri="{FF2B5EF4-FFF2-40B4-BE49-F238E27FC236}">
                <a16:creationId xmlns:a16="http://schemas.microsoft.com/office/drawing/2014/main" id="{00000000-0008-0000-0200-0000FD000000}"/>
              </a:ext>
            </a:extLst>
          </xdr:cNvPr>
          <xdr:cNvGrpSpPr/>
        </xdr:nvGrpSpPr>
        <xdr:grpSpPr>
          <a:xfrm rot="10800000">
            <a:off x="15074060" y="9816682"/>
            <a:ext cx="2502152" cy="4481027"/>
            <a:chOff x="3186773" y="2431566"/>
            <a:chExt cx="2247992" cy="3902991"/>
          </a:xfrm>
        </xdr:grpSpPr>
        <xdr:sp macro="" textlink="">
          <xdr:nvSpPr>
            <xdr:cNvPr id="260" name="Freeform 18">
              <a:extLst>
                <a:ext uri="{FF2B5EF4-FFF2-40B4-BE49-F238E27FC236}">
                  <a16:creationId xmlns:a16="http://schemas.microsoft.com/office/drawing/2014/main" id="{00000000-0008-0000-0200-000004010000}"/>
                </a:ext>
              </a:extLst>
            </xdr:cNvPr>
            <xdr:cNvSpPr/>
          </xdr:nvSpPr>
          <xdr:spPr>
            <a:xfrm>
              <a:off x="3186773" y="5734172"/>
              <a:ext cx="2247992" cy="600385"/>
            </a:xfrm>
            <a:custGeom>
              <a:avLst/>
              <a:gdLst>
                <a:gd name="connsiteX0" fmla="*/ 2667000 w 2667000"/>
                <a:gd name="connsiteY0" fmla="*/ 0 h 1042147"/>
                <a:gd name="connsiteX1" fmla="*/ 1479176 w 2667000"/>
                <a:gd name="connsiteY1" fmla="*/ 291353 h 1042147"/>
                <a:gd name="connsiteX2" fmla="*/ 0 w 2667000"/>
                <a:gd name="connsiteY2" fmla="*/ 1042147 h 1042147"/>
                <a:gd name="connsiteX0" fmla="*/ 2667000 w 2667000"/>
                <a:gd name="connsiteY0" fmla="*/ 0 h 1042147"/>
                <a:gd name="connsiteX1" fmla="*/ 0 w 2667000"/>
                <a:gd name="connsiteY1" fmla="*/ 1042147 h 1042147"/>
                <a:gd name="connsiteX0" fmla="*/ 2576847 w 2576847"/>
                <a:gd name="connsiteY0" fmla="*/ 0 h 808552"/>
                <a:gd name="connsiteX1" fmla="*/ 0 w 2576847"/>
                <a:gd name="connsiteY1" fmla="*/ 808552 h 80855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576847" h="808552">
                  <a:moveTo>
                    <a:pt x="2576847" y="0"/>
                  </a:moveTo>
                  <a:lnTo>
                    <a:pt x="0" y="808552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261" name="Freeform 14340">
              <a:extLst>
                <a:ext uri="{FF2B5EF4-FFF2-40B4-BE49-F238E27FC236}">
                  <a16:creationId xmlns:a16="http://schemas.microsoft.com/office/drawing/2014/main" id="{00000000-0008-0000-0200-000005010000}"/>
                </a:ext>
              </a:extLst>
            </xdr:cNvPr>
            <xdr:cNvSpPr/>
          </xdr:nvSpPr>
          <xdr:spPr>
            <a:xfrm>
              <a:off x="3342474" y="2431566"/>
              <a:ext cx="2073669" cy="3313078"/>
            </a:xfrm>
            <a:custGeom>
              <a:avLst/>
              <a:gdLst>
                <a:gd name="connsiteX0" fmla="*/ 1893794 w 1893794"/>
                <a:gd name="connsiteY0" fmla="*/ 3384176 h 3384176"/>
                <a:gd name="connsiteX1" fmla="*/ 616324 w 1893794"/>
                <a:gd name="connsiteY1" fmla="*/ 1860176 h 3384176"/>
                <a:gd name="connsiteX2" fmla="*/ 0 w 1893794"/>
                <a:gd name="connsiteY2" fmla="*/ 0 h 3384176"/>
                <a:gd name="connsiteX0" fmla="*/ 2040212 w 2040212"/>
                <a:gd name="connsiteY0" fmla="*/ 3391849 h 3391849"/>
                <a:gd name="connsiteX1" fmla="*/ 762742 w 2040212"/>
                <a:gd name="connsiteY1" fmla="*/ 1867849 h 3391849"/>
                <a:gd name="connsiteX2" fmla="*/ 0 w 2040212"/>
                <a:gd name="connsiteY2" fmla="*/ 0 h 3391849"/>
                <a:gd name="connsiteX0" fmla="*/ 2040212 w 2040212"/>
                <a:gd name="connsiteY0" fmla="*/ 3391849 h 3391849"/>
                <a:gd name="connsiteX1" fmla="*/ 762742 w 2040212"/>
                <a:gd name="connsiteY1" fmla="*/ 1867849 h 3391849"/>
                <a:gd name="connsiteX2" fmla="*/ 0 w 2040212"/>
                <a:gd name="connsiteY2" fmla="*/ 0 h 3391849"/>
                <a:gd name="connsiteX0" fmla="*/ 2040212 w 2040212"/>
                <a:gd name="connsiteY0" fmla="*/ 3391849 h 3391849"/>
                <a:gd name="connsiteX1" fmla="*/ 0 w 2040212"/>
                <a:gd name="connsiteY1" fmla="*/ 0 h 3391849"/>
                <a:gd name="connsiteX0" fmla="*/ 2547793 w 2547793"/>
                <a:gd name="connsiteY0" fmla="*/ 3407195 h 3407195"/>
                <a:gd name="connsiteX1" fmla="*/ 0 w 2547793"/>
                <a:gd name="connsiteY1" fmla="*/ 0 h 340719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547793" h="3407195">
                  <a:moveTo>
                    <a:pt x="2547793" y="3407195"/>
                  </a:moveTo>
                  <a:lnTo>
                    <a:pt x="0" y="0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254" name="Group 14345">
            <a:extLst>
              <a:ext uri="{FF2B5EF4-FFF2-40B4-BE49-F238E27FC236}">
                <a16:creationId xmlns:a16="http://schemas.microsoft.com/office/drawing/2014/main" id="{00000000-0008-0000-0200-0000FE000000}"/>
              </a:ext>
            </a:extLst>
          </xdr:cNvPr>
          <xdr:cNvGrpSpPr/>
        </xdr:nvGrpSpPr>
        <xdr:grpSpPr>
          <a:xfrm rot="10800000">
            <a:off x="1885155" y="9423742"/>
            <a:ext cx="2549050" cy="4853025"/>
            <a:chOff x="15253347" y="2373433"/>
            <a:chExt cx="2298004" cy="4301330"/>
          </a:xfrm>
        </xdr:grpSpPr>
        <xdr:sp macro="" textlink="">
          <xdr:nvSpPr>
            <xdr:cNvPr id="258" name="Freeform 202">
              <a:extLst>
                <a:ext uri="{FF2B5EF4-FFF2-40B4-BE49-F238E27FC236}">
                  <a16:creationId xmlns:a16="http://schemas.microsoft.com/office/drawing/2014/main" id="{00000000-0008-0000-0200-000002010000}"/>
                </a:ext>
              </a:extLst>
            </xdr:cNvPr>
            <xdr:cNvSpPr/>
          </xdr:nvSpPr>
          <xdr:spPr>
            <a:xfrm rot="2428397">
              <a:off x="15357825" y="5455336"/>
              <a:ext cx="2077353" cy="1219427"/>
            </a:xfrm>
            <a:custGeom>
              <a:avLst/>
              <a:gdLst>
                <a:gd name="connsiteX0" fmla="*/ 2667000 w 2667000"/>
                <a:gd name="connsiteY0" fmla="*/ 0 h 1042147"/>
                <a:gd name="connsiteX1" fmla="*/ 1479176 w 2667000"/>
                <a:gd name="connsiteY1" fmla="*/ 291353 h 1042147"/>
                <a:gd name="connsiteX2" fmla="*/ 0 w 2667000"/>
                <a:gd name="connsiteY2" fmla="*/ 1042147 h 1042147"/>
                <a:gd name="connsiteX0" fmla="*/ 2667000 w 2667000"/>
                <a:gd name="connsiteY0" fmla="*/ 0 h 1042147"/>
                <a:gd name="connsiteX1" fmla="*/ 0 w 2667000"/>
                <a:gd name="connsiteY1" fmla="*/ 1042147 h 1042147"/>
                <a:gd name="connsiteX0" fmla="*/ 2489032 w 2489032"/>
                <a:gd name="connsiteY0" fmla="*/ 0 h 1196857"/>
                <a:gd name="connsiteX1" fmla="*/ 0 w 2489032"/>
                <a:gd name="connsiteY1" fmla="*/ 1196857 h 1196857"/>
                <a:gd name="connsiteX0" fmla="*/ 2544835 w 2544835"/>
                <a:gd name="connsiteY0" fmla="*/ 0 h 1129669"/>
                <a:gd name="connsiteX1" fmla="*/ 0 w 2544835"/>
                <a:gd name="connsiteY1" fmla="*/ 1129669 h 112966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544835" h="1129669">
                  <a:moveTo>
                    <a:pt x="2544835" y="0"/>
                  </a:moveTo>
                  <a:lnTo>
                    <a:pt x="0" y="1129669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259" name="Freeform 14344">
              <a:extLst>
                <a:ext uri="{FF2B5EF4-FFF2-40B4-BE49-F238E27FC236}">
                  <a16:creationId xmlns:a16="http://schemas.microsoft.com/office/drawing/2014/main" id="{00000000-0008-0000-0200-000003010000}"/>
                </a:ext>
              </a:extLst>
            </xdr:cNvPr>
            <xdr:cNvSpPr/>
          </xdr:nvSpPr>
          <xdr:spPr>
            <a:xfrm>
              <a:off x="15253347" y="2373433"/>
              <a:ext cx="2298004" cy="3436972"/>
            </a:xfrm>
            <a:custGeom>
              <a:avLst/>
              <a:gdLst>
                <a:gd name="connsiteX0" fmla="*/ 0 w 2005853"/>
                <a:gd name="connsiteY0" fmla="*/ 3361765 h 3361765"/>
                <a:gd name="connsiteX1" fmla="*/ 1355912 w 2005853"/>
                <a:gd name="connsiteY1" fmla="*/ 1781736 h 3361765"/>
                <a:gd name="connsiteX2" fmla="*/ 2005853 w 2005853"/>
                <a:gd name="connsiteY2" fmla="*/ 0 h 3361765"/>
                <a:gd name="connsiteX0" fmla="*/ 0 w 2029294"/>
                <a:gd name="connsiteY0" fmla="*/ 3377225 h 3377225"/>
                <a:gd name="connsiteX1" fmla="*/ 1379353 w 2029294"/>
                <a:gd name="connsiteY1" fmla="*/ 1781736 h 3377225"/>
                <a:gd name="connsiteX2" fmla="*/ 2029294 w 2029294"/>
                <a:gd name="connsiteY2" fmla="*/ 0 h 3377225"/>
                <a:gd name="connsiteX0" fmla="*/ 0 w 2456801"/>
                <a:gd name="connsiteY0" fmla="*/ 3294961 h 3294961"/>
                <a:gd name="connsiteX1" fmla="*/ 1379353 w 2456801"/>
                <a:gd name="connsiteY1" fmla="*/ 1699472 h 3294961"/>
                <a:gd name="connsiteX2" fmla="*/ 2456801 w 2456801"/>
                <a:gd name="connsiteY2" fmla="*/ 0 h 3294961"/>
                <a:gd name="connsiteX0" fmla="*/ 0 w 2456801"/>
                <a:gd name="connsiteY0" fmla="*/ 3294961 h 3294961"/>
                <a:gd name="connsiteX1" fmla="*/ 1379353 w 2456801"/>
                <a:gd name="connsiteY1" fmla="*/ 1699472 h 3294961"/>
                <a:gd name="connsiteX2" fmla="*/ 2456801 w 2456801"/>
                <a:gd name="connsiteY2" fmla="*/ 0 h 3294961"/>
                <a:gd name="connsiteX0" fmla="*/ 0 w 2292375"/>
                <a:gd name="connsiteY0" fmla="*/ 3362268 h 3362268"/>
                <a:gd name="connsiteX1" fmla="*/ 1379353 w 2292375"/>
                <a:gd name="connsiteY1" fmla="*/ 1766779 h 3362268"/>
                <a:gd name="connsiteX2" fmla="*/ 2292375 w 2292375"/>
                <a:gd name="connsiteY2" fmla="*/ 0 h 3362268"/>
                <a:gd name="connsiteX0" fmla="*/ 0 w 2292375"/>
                <a:gd name="connsiteY0" fmla="*/ 3362268 h 3362268"/>
                <a:gd name="connsiteX1" fmla="*/ 2292375 w 2292375"/>
                <a:gd name="connsiteY1" fmla="*/ 0 h 3362268"/>
                <a:gd name="connsiteX0" fmla="*/ 0 w 2993926"/>
                <a:gd name="connsiteY0" fmla="*/ 3332354 h 3332354"/>
                <a:gd name="connsiteX1" fmla="*/ 2993926 w 2993926"/>
                <a:gd name="connsiteY1" fmla="*/ 0 h 333235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993926" h="3332354">
                  <a:moveTo>
                    <a:pt x="0" y="3332354"/>
                  </a:moveTo>
                  <a:lnTo>
                    <a:pt x="2993926" y="0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255" name="Group 14347">
            <a:extLst>
              <a:ext uri="{FF2B5EF4-FFF2-40B4-BE49-F238E27FC236}">
                <a16:creationId xmlns:a16="http://schemas.microsoft.com/office/drawing/2014/main" id="{00000000-0008-0000-0200-0000FF000000}"/>
              </a:ext>
            </a:extLst>
          </xdr:cNvPr>
          <xdr:cNvGrpSpPr/>
        </xdr:nvGrpSpPr>
        <xdr:grpSpPr>
          <a:xfrm rot="10800000">
            <a:off x="8327429" y="11252893"/>
            <a:ext cx="2713830" cy="3072542"/>
            <a:chOff x="9256576" y="2283780"/>
            <a:chExt cx="2530701" cy="2726368"/>
          </a:xfrm>
        </xdr:grpSpPr>
        <xdr:sp macro="" textlink="">
          <xdr:nvSpPr>
            <xdr:cNvPr id="256" name="Freeform 20">
              <a:extLst>
                <a:ext uri="{FF2B5EF4-FFF2-40B4-BE49-F238E27FC236}">
                  <a16:creationId xmlns:a16="http://schemas.microsoft.com/office/drawing/2014/main" id="{00000000-0008-0000-0200-000000010000}"/>
                </a:ext>
              </a:extLst>
            </xdr:cNvPr>
            <xdr:cNvSpPr/>
          </xdr:nvSpPr>
          <xdr:spPr>
            <a:xfrm>
              <a:off x="9256576" y="2283780"/>
              <a:ext cx="1249498" cy="2716847"/>
            </a:xfrm>
            <a:custGeom>
              <a:avLst/>
              <a:gdLst>
                <a:gd name="connsiteX0" fmla="*/ 0 w 930088"/>
                <a:gd name="connsiteY0" fmla="*/ 0 h 2991971"/>
                <a:gd name="connsiteX1" fmla="*/ 571500 w 930088"/>
                <a:gd name="connsiteY1" fmla="*/ 1232647 h 2991971"/>
                <a:gd name="connsiteX2" fmla="*/ 930088 w 930088"/>
                <a:gd name="connsiteY2" fmla="*/ 2991971 h 2991971"/>
                <a:gd name="connsiteX0" fmla="*/ 0 w 824392"/>
                <a:gd name="connsiteY0" fmla="*/ 0 h 2973552"/>
                <a:gd name="connsiteX1" fmla="*/ 465804 w 824392"/>
                <a:gd name="connsiteY1" fmla="*/ 1214228 h 2973552"/>
                <a:gd name="connsiteX2" fmla="*/ 824392 w 824392"/>
                <a:gd name="connsiteY2" fmla="*/ 2973552 h 2973552"/>
                <a:gd name="connsiteX0" fmla="*/ 0 w 824392"/>
                <a:gd name="connsiteY0" fmla="*/ 0 h 2973552"/>
                <a:gd name="connsiteX1" fmla="*/ 465804 w 824392"/>
                <a:gd name="connsiteY1" fmla="*/ 1214228 h 2973552"/>
                <a:gd name="connsiteX2" fmla="*/ 824392 w 824392"/>
                <a:gd name="connsiteY2" fmla="*/ 2973552 h 2973552"/>
                <a:gd name="connsiteX0" fmla="*/ 0 w 824392"/>
                <a:gd name="connsiteY0" fmla="*/ 0 h 2973552"/>
                <a:gd name="connsiteX1" fmla="*/ 824392 w 824392"/>
                <a:gd name="connsiteY1" fmla="*/ 2973552 h 297355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824392" h="2973552">
                  <a:moveTo>
                    <a:pt x="0" y="0"/>
                  </a:moveTo>
                  <a:lnTo>
                    <a:pt x="824392" y="2973552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257" name="Freeform 14346">
              <a:extLst>
                <a:ext uri="{FF2B5EF4-FFF2-40B4-BE49-F238E27FC236}">
                  <a16:creationId xmlns:a16="http://schemas.microsoft.com/office/drawing/2014/main" id="{00000000-0008-0000-0200-000001010000}"/>
                </a:ext>
              </a:extLst>
            </xdr:cNvPr>
            <xdr:cNvSpPr/>
          </xdr:nvSpPr>
          <xdr:spPr>
            <a:xfrm>
              <a:off x="10506075" y="2292193"/>
              <a:ext cx="1281202" cy="2717955"/>
            </a:xfrm>
            <a:custGeom>
              <a:avLst/>
              <a:gdLst>
                <a:gd name="connsiteX0" fmla="*/ 0 w 1562100"/>
                <a:gd name="connsiteY0" fmla="*/ 2914650 h 2914650"/>
                <a:gd name="connsiteX1" fmla="*/ 638175 w 1562100"/>
                <a:gd name="connsiteY1" fmla="*/ 1047750 h 2914650"/>
                <a:gd name="connsiteX2" fmla="*/ 1562100 w 1562100"/>
                <a:gd name="connsiteY2" fmla="*/ 0 h 2914650"/>
                <a:gd name="connsiteX0" fmla="*/ 0 w 1346905"/>
                <a:gd name="connsiteY0" fmla="*/ 2887828 h 2887828"/>
                <a:gd name="connsiteX1" fmla="*/ 638175 w 1346905"/>
                <a:gd name="connsiteY1" fmla="*/ 1020928 h 2887828"/>
                <a:gd name="connsiteX2" fmla="*/ 1346905 w 1346905"/>
                <a:gd name="connsiteY2" fmla="*/ 0 h 2887828"/>
                <a:gd name="connsiteX0" fmla="*/ 0 w 1346905"/>
                <a:gd name="connsiteY0" fmla="*/ 2887828 h 2887828"/>
                <a:gd name="connsiteX1" fmla="*/ 638175 w 1346905"/>
                <a:gd name="connsiteY1" fmla="*/ 1020928 h 2887828"/>
                <a:gd name="connsiteX2" fmla="*/ 1346905 w 1346905"/>
                <a:gd name="connsiteY2" fmla="*/ 0 h 2887828"/>
                <a:gd name="connsiteX0" fmla="*/ 0 w 1346905"/>
                <a:gd name="connsiteY0" fmla="*/ 2887828 h 2887828"/>
                <a:gd name="connsiteX1" fmla="*/ 1346905 w 1346905"/>
                <a:gd name="connsiteY1" fmla="*/ 0 h 288782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1346905" h="2887828">
                  <a:moveTo>
                    <a:pt x="0" y="2887828"/>
                  </a:moveTo>
                  <a:lnTo>
                    <a:pt x="1346905" y="0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33279</xdr:colOff>
      <xdr:row>3</xdr:row>
      <xdr:rowOff>154631</xdr:rowOff>
    </xdr:from>
    <xdr:to>
      <xdr:col>72</xdr:col>
      <xdr:colOff>261998</xdr:colOff>
      <xdr:row>7</xdr:row>
      <xdr:rowOff>136027</xdr:rowOff>
    </xdr:to>
    <xdr:pic>
      <xdr:nvPicPr>
        <xdr:cNvPr id="2" name="Picture 75">
          <a:extLst>
            <a:ext uri="{FF2B5EF4-FFF2-40B4-BE49-F238E27FC236}">
              <a16:creationId xmlns:a16="http://schemas.microsoft.com/office/drawing/2014/main" id="{7F4EA4EC-5956-4B08-8823-500F442C5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78104" y="697556"/>
          <a:ext cx="2286119" cy="857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22411</xdr:colOff>
      <xdr:row>11</xdr:row>
      <xdr:rowOff>184440</xdr:rowOff>
    </xdr:from>
    <xdr:to>
      <xdr:col>61</xdr:col>
      <xdr:colOff>23130</xdr:colOff>
      <xdr:row>18</xdr:row>
      <xdr:rowOff>103910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2F776F82-DF63-457C-AD34-555DF735B386}"/>
            </a:ext>
          </a:extLst>
        </xdr:cNvPr>
        <xdr:cNvGrpSpPr/>
      </xdr:nvGrpSpPr>
      <xdr:grpSpPr>
        <a:xfrm>
          <a:off x="15275111" y="2518065"/>
          <a:ext cx="559519" cy="1278370"/>
          <a:chOff x="9840520" y="2403401"/>
          <a:chExt cx="778658" cy="2032682"/>
        </a:xfrm>
      </xdr:grpSpPr>
      <xdr:sp macro="" textlink="">
        <xdr:nvSpPr>
          <xdr:cNvPr id="4" name="Line 208">
            <a:extLst>
              <a:ext uri="{FF2B5EF4-FFF2-40B4-BE49-F238E27FC236}">
                <a16:creationId xmlns:a16="http://schemas.microsoft.com/office/drawing/2014/main" id="{A7CD8377-A04F-E582-4C65-006B205322F2}"/>
              </a:ext>
            </a:extLst>
          </xdr:cNvPr>
          <xdr:cNvSpPr>
            <a:spLocks noChangeShapeType="1"/>
          </xdr:cNvSpPr>
        </xdr:nvSpPr>
        <xdr:spPr bwMode="auto">
          <a:xfrm>
            <a:off x="10237564" y="2403401"/>
            <a:ext cx="0" cy="2032682"/>
          </a:xfrm>
          <a:prstGeom prst="line">
            <a:avLst/>
          </a:prstGeom>
          <a:noFill/>
          <a:ln w="31750">
            <a:solidFill>
              <a:srgbClr val="000000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8390F6B-2D44-CBED-39D3-A9CC41DEA491}"/>
              </a:ext>
            </a:extLst>
          </xdr:cNvPr>
          <xdr:cNvSpPr txBox="1"/>
        </xdr:nvSpPr>
        <xdr:spPr>
          <a:xfrm>
            <a:off x="9840520" y="3116301"/>
            <a:ext cx="778658" cy="5905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3500" b="1">
                <a:latin typeface="+mn-lt"/>
              </a:rPr>
              <a:t>N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13</xdr:row>
          <xdr:rowOff>85725</xdr:rowOff>
        </xdr:from>
        <xdr:to>
          <xdr:col>8</xdr:col>
          <xdr:colOff>133350</xdr:colOff>
          <xdr:row>15</xdr:row>
          <xdr:rowOff>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3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13</xdr:row>
          <xdr:rowOff>85725</xdr:rowOff>
        </xdr:from>
        <xdr:to>
          <xdr:col>15</xdr:col>
          <xdr:colOff>266700</xdr:colOff>
          <xdr:row>15</xdr:row>
          <xdr:rowOff>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3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166804</xdr:colOff>
      <xdr:row>57</xdr:row>
      <xdr:rowOff>138517</xdr:rowOff>
    </xdr:from>
    <xdr:to>
      <xdr:col>20</xdr:col>
      <xdr:colOff>278029</xdr:colOff>
      <xdr:row>59</xdr:row>
      <xdr:rowOff>117517</xdr:rowOff>
    </xdr:to>
    <xdr:sp macro="" textlink="">
      <xdr:nvSpPr>
        <xdr:cNvPr id="9" name="AutoShape 186">
          <a:extLst>
            <a:ext uri="{FF2B5EF4-FFF2-40B4-BE49-F238E27FC236}">
              <a16:creationId xmlns:a16="http://schemas.microsoft.com/office/drawing/2014/main" id="{F0C885A3-D60B-4FD9-9690-2A5ED740F655}"/>
            </a:ext>
          </a:extLst>
        </xdr:cNvPr>
        <xdr:cNvSpPr>
          <a:spLocks noChangeArrowheads="1"/>
        </xdr:cNvSpPr>
      </xdr:nvSpPr>
      <xdr:spPr bwMode="auto">
        <a:xfrm rot="16200000" flipV="1">
          <a:off x="4185792" y="10721354"/>
          <a:ext cx="360000" cy="111225"/>
        </a:xfrm>
        <a:prstGeom prst="rightArrow">
          <a:avLst>
            <a:gd name="adj1" fmla="val 50000"/>
            <a:gd name="adj2" fmla="val 9529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166804</xdr:colOff>
      <xdr:row>57</xdr:row>
      <xdr:rowOff>138517</xdr:rowOff>
    </xdr:from>
    <xdr:to>
      <xdr:col>42</xdr:col>
      <xdr:colOff>278029</xdr:colOff>
      <xdr:row>59</xdr:row>
      <xdr:rowOff>117517</xdr:rowOff>
    </xdr:to>
    <xdr:sp macro="" textlink="">
      <xdr:nvSpPr>
        <xdr:cNvPr id="10" name="AutoShape 186">
          <a:extLst>
            <a:ext uri="{FF2B5EF4-FFF2-40B4-BE49-F238E27FC236}">
              <a16:creationId xmlns:a16="http://schemas.microsoft.com/office/drawing/2014/main" id="{09F2850D-2507-4E1F-9382-DF559848E327}"/>
            </a:ext>
          </a:extLst>
        </xdr:cNvPr>
        <xdr:cNvSpPr>
          <a:spLocks noChangeArrowheads="1"/>
        </xdr:cNvSpPr>
      </xdr:nvSpPr>
      <xdr:spPr bwMode="auto">
        <a:xfrm rot="16200000" flipV="1">
          <a:off x="10262742" y="10721354"/>
          <a:ext cx="360000" cy="111225"/>
        </a:xfrm>
        <a:prstGeom prst="rightArrow">
          <a:avLst>
            <a:gd name="adj1" fmla="val 50000"/>
            <a:gd name="adj2" fmla="val 9529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167916</xdr:colOff>
      <xdr:row>57</xdr:row>
      <xdr:rowOff>109942</xdr:rowOff>
    </xdr:from>
    <xdr:to>
      <xdr:col>36</xdr:col>
      <xdr:colOff>279516</xdr:colOff>
      <xdr:row>59</xdr:row>
      <xdr:rowOff>88942</xdr:rowOff>
    </xdr:to>
    <xdr:sp macro="" textlink="">
      <xdr:nvSpPr>
        <xdr:cNvPr id="11" name="AutoShape 186">
          <a:extLst>
            <a:ext uri="{FF2B5EF4-FFF2-40B4-BE49-F238E27FC236}">
              <a16:creationId xmlns:a16="http://schemas.microsoft.com/office/drawing/2014/main" id="{4916E3CF-4BE0-4BA9-8863-03BD1F57B28E}"/>
            </a:ext>
          </a:extLst>
        </xdr:cNvPr>
        <xdr:cNvSpPr>
          <a:spLocks noChangeArrowheads="1"/>
        </xdr:cNvSpPr>
      </xdr:nvSpPr>
      <xdr:spPr bwMode="auto">
        <a:xfrm rot="5400000" flipV="1">
          <a:off x="8606691" y="10692592"/>
          <a:ext cx="360000" cy="111600"/>
        </a:xfrm>
        <a:prstGeom prst="rightArrow">
          <a:avLst>
            <a:gd name="adj1" fmla="val 50000"/>
            <a:gd name="adj2" fmla="val 9529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58</xdr:col>
      <xdr:colOff>167916</xdr:colOff>
      <xdr:row>57</xdr:row>
      <xdr:rowOff>109942</xdr:rowOff>
    </xdr:from>
    <xdr:to>
      <xdr:col>58</xdr:col>
      <xdr:colOff>279516</xdr:colOff>
      <xdr:row>59</xdr:row>
      <xdr:rowOff>88942</xdr:rowOff>
    </xdr:to>
    <xdr:sp macro="" textlink="">
      <xdr:nvSpPr>
        <xdr:cNvPr id="12" name="AutoShape 186">
          <a:extLst>
            <a:ext uri="{FF2B5EF4-FFF2-40B4-BE49-F238E27FC236}">
              <a16:creationId xmlns:a16="http://schemas.microsoft.com/office/drawing/2014/main" id="{D92EDA9F-18A0-45A9-B94C-6F62B1A4EBA7}"/>
            </a:ext>
          </a:extLst>
        </xdr:cNvPr>
        <xdr:cNvSpPr>
          <a:spLocks noChangeArrowheads="1"/>
        </xdr:cNvSpPr>
      </xdr:nvSpPr>
      <xdr:spPr bwMode="auto">
        <a:xfrm rot="5400000" flipV="1">
          <a:off x="14683641" y="10692592"/>
          <a:ext cx="360000" cy="111600"/>
        </a:xfrm>
        <a:prstGeom prst="rightArrow">
          <a:avLst>
            <a:gd name="adj1" fmla="val 50000"/>
            <a:gd name="adj2" fmla="val 9529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57</xdr:row>
      <xdr:rowOff>104944</xdr:rowOff>
    </xdr:from>
    <xdr:to>
      <xdr:col>52</xdr:col>
      <xdr:colOff>352427</xdr:colOff>
      <xdr:row>60</xdr:row>
      <xdr:rowOff>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BA183579-7E58-4C54-8E4E-6ABC4D43A93F}"/>
            </a:ext>
          </a:extLst>
        </xdr:cNvPr>
        <xdr:cNvGrpSpPr/>
      </xdr:nvGrpSpPr>
      <xdr:grpSpPr>
        <a:xfrm>
          <a:off x="10928350" y="10274469"/>
          <a:ext cx="2571752" cy="399881"/>
          <a:chOff x="4797879" y="10368812"/>
          <a:chExt cx="2564948" cy="399881"/>
        </a:xfrm>
      </xdr:grpSpPr>
      <xdr:sp macro="" textlink="">
        <xdr:nvSpPr>
          <xdr:cNvPr id="14" name="Line 150">
            <a:extLst>
              <a:ext uri="{FF2B5EF4-FFF2-40B4-BE49-F238E27FC236}">
                <a16:creationId xmlns:a16="http://schemas.microsoft.com/office/drawing/2014/main" id="{7E5A1A72-66CE-55AA-3AEA-4531C9E1AAA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263247" y="10416438"/>
            <a:ext cx="279614" cy="350417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5" name="Group 5">
            <a:extLst>
              <a:ext uri="{FF2B5EF4-FFF2-40B4-BE49-F238E27FC236}">
                <a16:creationId xmlns:a16="http://schemas.microsoft.com/office/drawing/2014/main" id="{693B9DE8-ADE2-5327-AB17-2FA52E869CF2}"/>
              </a:ext>
            </a:extLst>
          </xdr:cNvPr>
          <xdr:cNvGrpSpPr/>
        </xdr:nvGrpSpPr>
        <xdr:grpSpPr>
          <a:xfrm rot="10800000">
            <a:off x="4797879" y="10455107"/>
            <a:ext cx="205202" cy="311750"/>
            <a:chOff x="9013076" y="4988623"/>
            <a:chExt cx="204163" cy="311750"/>
          </a:xfrm>
        </xdr:grpSpPr>
        <xdr:sp macro="" textlink="">
          <xdr:nvSpPr>
            <xdr:cNvPr id="21" name="Line 154">
              <a:extLst>
                <a:ext uri="{FF2B5EF4-FFF2-40B4-BE49-F238E27FC236}">
                  <a16:creationId xmlns:a16="http://schemas.microsoft.com/office/drawing/2014/main" id="{73ADA522-0F09-1DAC-F688-DF612F1FFC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16391" y="4988623"/>
              <a:ext cx="0" cy="307642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164">
              <a:extLst>
                <a:ext uri="{FF2B5EF4-FFF2-40B4-BE49-F238E27FC236}">
                  <a16:creationId xmlns:a16="http://schemas.microsoft.com/office/drawing/2014/main" id="{D8C31026-4452-9B1E-CE3B-42C48EB03807}"/>
                </a:ext>
              </a:extLst>
            </xdr:cNvPr>
            <xdr:cNvSpPr>
              <a:spLocks noChangeShapeType="1"/>
            </xdr:cNvSpPr>
          </xdr:nvSpPr>
          <xdr:spPr bwMode="auto">
            <a:xfrm rot="16200000">
              <a:off x="9072581" y="5155714"/>
              <a:ext cx="85154" cy="204163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16" name="Group 2">
            <a:extLst>
              <a:ext uri="{FF2B5EF4-FFF2-40B4-BE49-F238E27FC236}">
                <a16:creationId xmlns:a16="http://schemas.microsoft.com/office/drawing/2014/main" id="{75E33101-373E-2079-B031-FBE3DCAC2C44}"/>
              </a:ext>
            </a:extLst>
          </xdr:cNvPr>
          <xdr:cNvGrpSpPr/>
        </xdr:nvGrpSpPr>
        <xdr:grpSpPr>
          <a:xfrm rot="10800000">
            <a:off x="6665909" y="10368812"/>
            <a:ext cx="196177" cy="398045"/>
            <a:chOff x="7179728" y="4988623"/>
            <a:chExt cx="195184" cy="398045"/>
          </a:xfrm>
        </xdr:grpSpPr>
        <xdr:sp macro="" textlink="">
          <xdr:nvSpPr>
            <xdr:cNvPr id="19" name="Line 154">
              <a:extLst>
                <a:ext uri="{FF2B5EF4-FFF2-40B4-BE49-F238E27FC236}">
                  <a16:creationId xmlns:a16="http://schemas.microsoft.com/office/drawing/2014/main" id="{1F243827-59A7-58D5-0C6F-0A94203C7B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68946" y="4988623"/>
              <a:ext cx="0" cy="307642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0" name="Line 164">
              <a:extLst>
                <a:ext uri="{FF2B5EF4-FFF2-40B4-BE49-F238E27FC236}">
                  <a16:creationId xmlns:a16="http://schemas.microsoft.com/office/drawing/2014/main" id="{18E8ED6D-8CEC-996F-820B-67EF3D63165B}"/>
                </a:ext>
              </a:extLst>
            </xdr:cNvPr>
            <xdr:cNvSpPr>
              <a:spLocks noChangeShapeType="1"/>
            </xdr:cNvSpPr>
          </xdr:nvSpPr>
          <xdr:spPr bwMode="auto">
            <a:xfrm rot="16200000">
              <a:off x="7234172" y="5245928"/>
              <a:ext cx="86296" cy="195184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 type="triangle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17" name="Line 150">
            <a:extLst>
              <a:ext uri="{FF2B5EF4-FFF2-40B4-BE49-F238E27FC236}">
                <a16:creationId xmlns:a16="http://schemas.microsoft.com/office/drawing/2014/main" id="{B99007D0-D100-6A39-B60F-43106BE436B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980344" y="10397387"/>
            <a:ext cx="119842" cy="369468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" name="Freeform 97">
            <a:extLst>
              <a:ext uri="{FF2B5EF4-FFF2-40B4-BE49-F238E27FC236}">
                <a16:creationId xmlns:a16="http://schemas.microsoft.com/office/drawing/2014/main" id="{99C7AC67-12C9-137A-35E6-8ADD2A3511F9}"/>
              </a:ext>
            </a:extLst>
          </xdr:cNvPr>
          <xdr:cNvSpPr/>
        </xdr:nvSpPr>
        <xdr:spPr>
          <a:xfrm>
            <a:off x="7229477" y="10446054"/>
            <a:ext cx="133350" cy="322639"/>
          </a:xfrm>
          <a:custGeom>
            <a:avLst/>
            <a:gdLst>
              <a:gd name="connsiteX0" fmla="*/ 0 w 104775"/>
              <a:gd name="connsiteY0" fmla="*/ 304800 h 304800"/>
              <a:gd name="connsiteX1" fmla="*/ 0 w 104775"/>
              <a:gd name="connsiteY1" fmla="*/ 0 h 304800"/>
              <a:gd name="connsiteX2" fmla="*/ 104775 w 104775"/>
              <a:gd name="connsiteY2" fmla="*/ 9525 h 304800"/>
              <a:gd name="connsiteX3" fmla="*/ 104775 w 104775"/>
              <a:gd name="connsiteY3" fmla="*/ 190500 h 304800"/>
              <a:gd name="connsiteX0" fmla="*/ 0 w 114300"/>
              <a:gd name="connsiteY0" fmla="*/ 323850 h 323850"/>
              <a:gd name="connsiteX1" fmla="*/ 0 w 114300"/>
              <a:gd name="connsiteY1" fmla="*/ 19050 h 323850"/>
              <a:gd name="connsiteX2" fmla="*/ 114300 w 114300"/>
              <a:gd name="connsiteY2" fmla="*/ 0 h 323850"/>
              <a:gd name="connsiteX3" fmla="*/ 104775 w 114300"/>
              <a:gd name="connsiteY3" fmla="*/ 209550 h 323850"/>
              <a:gd name="connsiteX0" fmla="*/ 0 w 104775"/>
              <a:gd name="connsiteY0" fmla="*/ 305991 h 305991"/>
              <a:gd name="connsiteX1" fmla="*/ 0 w 104775"/>
              <a:gd name="connsiteY1" fmla="*/ 1191 h 305991"/>
              <a:gd name="connsiteX2" fmla="*/ 102394 w 104775"/>
              <a:gd name="connsiteY2" fmla="*/ 0 h 305991"/>
              <a:gd name="connsiteX3" fmla="*/ 104775 w 104775"/>
              <a:gd name="connsiteY3" fmla="*/ 191691 h 30599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04775" h="305991">
                <a:moveTo>
                  <a:pt x="0" y="305991"/>
                </a:moveTo>
                <a:lnTo>
                  <a:pt x="0" y="1191"/>
                </a:lnTo>
                <a:lnTo>
                  <a:pt x="102394" y="0"/>
                </a:lnTo>
                <a:cubicBezTo>
                  <a:pt x="103188" y="63897"/>
                  <a:pt x="103981" y="127794"/>
                  <a:pt x="104775" y="191691"/>
                </a:cubicBezTo>
              </a:path>
            </a:pathLst>
          </a:custGeom>
          <a:ln w="2540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22</xdr:col>
      <xdr:colOff>57150</xdr:colOff>
      <xdr:row>57</xdr:row>
      <xdr:rowOff>84533</xdr:rowOff>
    </xdr:from>
    <xdr:to>
      <xdr:col>30</xdr:col>
      <xdr:colOff>352428</xdr:colOff>
      <xdr:row>59</xdr:row>
      <xdr:rowOff>123820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82CEE7B9-4205-4E43-B8A2-E0D112F17CF8}"/>
            </a:ext>
          </a:extLst>
        </xdr:cNvPr>
        <xdr:cNvGrpSpPr/>
      </xdr:nvGrpSpPr>
      <xdr:grpSpPr>
        <a:xfrm>
          <a:off x="4819650" y="10254058"/>
          <a:ext cx="2533653" cy="420287"/>
          <a:chOff x="4772025" y="10400108"/>
          <a:chExt cx="2505078" cy="420287"/>
        </a:xfrm>
      </xdr:grpSpPr>
      <xdr:sp macro="" textlink="">
        <xdr:nvSpPr>
          <xdr:cNvPr id="24" name="Line 150">
            <a:extLst>
              <a:ext uri="{FF2B5EF4-FFF2-40B4-BE49-F238E27FC236}">
                <a16:creationId xmlns:a16="http://schemas.microsoft.com/office/drawing/2014/main" id="{95CFB412-50E8-E478-F03B-C8223B99531F}"/>
              </a:ext>
            </a:extLst>
          </xdr:cNvPr>
          <xdr:cNvSpPr>
            <a:spLocks noChangeShapeType="1"/>
          </xdr:cNvSpPr>
        </xdr:nvSpPr>
        <xdr:spPr bwMode="auto">
          <a:xfrm flipV="1">
            <a:off x="5483893" y="10438210"/>
            <a:ext cx="135858" cy="37899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25" name="Group 164">
            <a:extLst>
              <a:ext uri="{FF2B5EF4-FFF2-40B4-BE49-F238E27FC236}">
                <a16:creationId xmlns:a16="http://schemas.microsoft.com/office/drawing/2014/main" id="{85BE235D-F8F6-541C-DD6B-A5AFC81146A9}"/>
              </a:ext>
            </a:extLst>
          </xdr:cNvPr>
          <xdr:cNvGrpSpPr/>
        </xdr:nvGrpSpPr>
        <xdr:grpSpPr>
          <a:xfrm rot="10800000">
            <a:off x="4772025" y="10400108"/>
            <a:ext cx="167535" cy="417094"/>
            <a:chOff x="9083098" y="4988623"/>
            <a:chExt cx="175941" cy="406646"/>
          </a:xfrm>
        </xdr:grpSpPr>
        <xdr:sp macro="" textlink="">
          <xdr:nvSpPr>
            <xdr:cNvPr id="31" name="Line 154">
              <a:extLst>
                <a:ext uri="{FF2B5EF4-FFF2-40B4-BE49-F238E27FC236}">
                  <a16:creationId xmlns:a16="http://schemas.microsoft.com/office/drawing/2014/main" id="{F3690495-D435-4E96-10C3-D441077DE77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86412" y="4988623"/>
              <a:ext cx="0" cy="307642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" name="Line 164">
              <a:extLst>
                <a:ext uri="{FF2B5EF4-FFF2-40B4-BE49-F238E27FC236}">
                  <a16:creationId xmlns:a16="http://schemas.microsoft.com/office/drawing/2014/main" id="{6EED8E26-9684-E06A-4AFB-BE2021E63D8D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H="1">
              <a:off x="9118977" y="5255207"/>
              <a:ext cx="104183" cy="175941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26" name="Group 165">
            <a:extLst>
              <a:ext uri="{FF2B5EF4-FFF2-40B4-BE49-F238E27FC236}">
                <a16:creationId xmlns:a16="http://schemas.microsoft.com/office/drawing/2014/main" id="{56097432-0967-AD60-1F32-A60F9BC3D442}"/>
              </a:ext>
            </a:extLst>
          </xdr:cNvPr>
          <xdr:cNvGrpSpPr/>
        </xdr:nvGrpSpPr>
        <xdr:grpSpPr>
          <a:xfrm rot="10800000">
            <a:off x="6566138" y="10497445"/>
            <a:ext cx="225188" cy="319757"/>
            <a:chOff x="7138424" y="4988623"/>
            <a:chExt cx="236486" cy="311747"/>
          </a:xfrm>
        </xdr:grpSpPr>
        <xdr:sp macro="" textlink="">
          <xdr:nvSpPr>
            <xdr:cNvPr id="29" name="Line 154">
              <a:extLst>
                <a:ext uri="{FF2B5EF4-FFF2-40B4-BE49-F238E27FC236}">
                  <a16:creationId xmlns:a16="http://schemas.microsoft.com/office/drawing/2014/main" id="{AA5323AB-1CCB-B970-6246-6CEC5F2A21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68946" y="4988623"/>
              <a:ext cx="0" cy="307642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0" name="Line 164">
              <a:extLst>
                <a:ext uri="{FF2B5EF4-FFF2-40B4-BE49-F238E27FC236}">
                  <a16:creationId xmlns:a16="http://schemas.microsoft.com/office/drawing/2014/main" id="{9AD5154B-50F4-3AE0-466B-07C00FCF1AC4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H="1">
              <a:off x="7220538" y="5145999"/>
              <a:ext cx="72257" cy="236486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 type="triangle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27" name="Line 150">
            <a:extLst>
              <a:ext uri="{FF2B5EF4-FFF2-40B4-BE49-F238E27FC236}">
                <a16:creationId xmlns:a16="http://schemas.microsoft.com/office/drawing/2014/main" id="{F5EE035E-7C8E-F0B0-376D-52F32B0ADF27}"/>
              </a:ext>
            </a:extLst>
          </xdr:cNvPr>
          <xdr:cNvSpPr>
            <a:spLocks noChangeShapeType="1"/>
          </xdr:cNvSpPr>
        </xdr:nvSpPr>
        <xdr:spPr bwMode="auto">
          <a:xfrm flipV="1">
            <a:off x="6016273" y="10438207"/>
            <a:ext cx="270228" cy="37899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" name="Freeform 100">
            <a:extLst>
              <a:ext uri="{FF2B5EF4-FFF2-40B4-BE49-F238E27FC236}">
                <a16:creationId xmlns:a16="http://schemas.microsoft.com/office/drawing/2014/main" id="{1033B13B-7DD6-0558-0BA0-B612DCAE3C01}"/>
              </a:ext>
            </a:extLst>
          </xdr:cNvPr>
          <xdr:cNvSpPr/>
        </xdr:nvSpPr>
        <xdr:spPr>
          <a:xfrm>
            <a:off x="7143753" y="10496395"/>
            <a:ext cx="133350" cy="324000"/>
          </a:xfrm>
          <a:custGeom>
            <a:avLst/>
            <a:gdLst>
              <a:gd name="connsiteX0" fmla="*/ 0 w 104775"/>
              <a:gd name="connsiteY0" fmla="*/ 304800 h 304800"/>
              <a:gd name="connsiteX1" fmla="*/ 0 w 104775"/>
              <a:gd name="connsiteY1" fmla="*/ 0 h 304800"/>
              <a:gd name="connsiteX2" fmla="*/ 104775 w 104775"/>
              <a:gd name="connsiteY2" fmla="*/ 9525 h 304800"/>
              <a:gd name="connsiteX3" fmla="*/ 104775 w 104775"/>
              <a:gd name="connsiteY3" fmla="*/ 190500 h 304800"/>
              <a:gd name="connsiteX0" fmla="*/ 0 w 114300"/>
              <a:gd name="connsiteY0" fmla="*/ 323850 h 323850"/>
              <a:gd name="connsiteX1" fmla="*/ 0 w 114300"/>
              <a:gd name="connsiteY1" fmla="*/ 19050 h 323850"/>
              <a:gd name="connsiteX2" fmla="*/ 114300 w 114300"/>
              <a:gd name="connsiteY2" fmla="*/ 0 h 323850"/>
              <a:gd name="connsiteX3" fmla="*/ 104775 w 114300"/>
              <a:gd name="connsiteY3" fmla="*/ 209550 h 323850"/>
              <a:gd name="connsiteX0" fmla="*/ 0 w 104775"/>
              <a:gd name="connsiteY0" fmla="*/ 305991 h 305991"/>
              <a:gd name="connsiteX1" fmla="*/ 0 w 104775"/>
              <a:gd name="connsiteY1" fmla="*/ 1191 h 305991"/>
              <a:gd name="connsiteX2" fmla="*/ 102394 w 104775"/>
              <a:gd name="connsiteY2" fmla="*/ 0 h 305991"/>
              <a:gd name="connsiteX3" fmla="*/ 104775 w 104775"/>
              <a:gd name="connsiteY3" fmla="*/ 191691 h 30599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04775" h="305991">
                <a:moveTo>
                  <a:pt x="0" y="305991"/>
                </a:moveTo>
                <a:lnTo>
                  <a:pt x="0" y="1191"/>
                </a:lnTo>
                <a:lnTo>
                  <a:pt x="102394" y="0"/>
                </a:lnTo>
                <a:cubicBezTo>
                  <a:pt x="103188" y="63897"/>
                  <a:pt x="103981" y="127794"/>
                  <a:pt x="104775" y="191691"/>
                </a:cubicBezTo>
              </a:path>
            </a:pathLst>
          </a:custGeom>
          <a:ln w="2540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38</xdr:col>
      <xdr:colOff>93891</xdr:colOff>
      <xdr:row>25</xdr:row>
      <xdr:rowOff>3</xdr:rowOff>
    </xdr:from>
    <xdr:to>
      <xdr:col>47</xdr:col>
      <xdr:colOff>9526</xdr:colOff>
      <xdr:row>27</xdr:row>
      <xdr:rowOff>48870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B05EB47D-D651-4ED8-B08A-362FD68A2AF3}"/>
            </a:ext>
          </a:extLst>
        </xdr:cNvPr>
        <xdr:cNvGrpSpPr/>
      </xdr:nvGrpSpPr>
      <xdr:grpSpPr>
        <a:xfrm rot="10800000">
          <a:off x="9326791" y="4832353"/>
          <a:ext cx="2585810" cy="369542"/>
          <a:chOff x="7493454" y="10987768"/>
          <a:chExt cx="2582635" cy="361831"/>
        </a:xfrm>
      </xdr:grpSpPr>
      <xdr:sp macro="" textlink="">
        <xdr:nvSpPr>
          <xdr:cNvPr id="34" name="Line 150">
            <a:extLst>
              <a:ext uri="{FF2B5EF4-FFF2-40B4-BE49-F238E27FC236}">
                <a16:creationId xmlns:a16="http://schemas.microsoft.com/office/drawing/2014/main" id="{4889B16C-68DB-79CC-45CB-BE6927827B1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8128548" y="10997256"/>
            <a:ext cx="157764" cy="352337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35" name="Group 194">
            <a:extLst>
              <a:ext uri="{FF2B5EF4-FFF2-40B4-BE49-F238E27FC236}">
                <a16:creationId xmlns:a16="http://schemas.microsoft.com/office/drawing/2014/main" id="{6CE12795-C95A-4814-CCFE-A11F5FFB6A59}"/>
              </a:ext>
            </a:extLst>
          </xdr:cNvPr>
          <xdr:cNvGrpSpPr/>
        </xdr:nvGrpSpPr>
        <xdr:grpSpPr>
          <a:xfrm rot="10800000">
            <a:off x="7493454" y="10987768"/>
            <a:ext cx="231668" cy="361831"/>
            <a:chOff x="9013075" y="4988623"/>
            <a:chExt cx="264885" cy="363192"/>
          </a:xfrm>
        </xdr:grpSpPr>
        <xdr:sp macro="" textlink="">
          <xdr:nvSpPr>
            <xdr:cNvPr id="41" name="Line 154">
              <a:extLst>
                <a:ext uri="{FF2B5EF4-FFF2-40B4-BE49-F238E27FC236}">
                  <a16:creationId xmlns:a16="http://schemas.microsoft.com/office/drawing/2014/main" id="{C73FCC56-E635-CDEE-3A25-4523BB39B65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16391" y="4988623"/>
              <a:ext cx="0" cy="307642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42" name="Line 164">
              <a:extLst>
                <a:ext uri="{FF2B5EF4-FFF2-40B4-BE49-F238E27FC236}">
                  <a16:creationId xmlns:a16="http://schemas.microsoft.com/office/drawing/2014/main" id="{90394130-82B1-54B7-39A8-772FF56D2817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H="1">
              <a:off x="9115033" y="5188888"/>
              <a:ext cx="60969" cy="264885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36" name="Group 195">
            <a:extLst>
              <a:ext uri="{FF2B5EF4-FFF2-40B4-BE49-F238E27FC236}">
                <a16:creationId xmlns:a16="http://schemas.microsoft.com/office/drawing/2014/main" id="{7125A5F8-D70D-5E28-852E-8D708000C25C}"/>
              </a:ext>
            </a:extLst>
          </xdr:cNvPr>
          <xdr:cNvGrpSpPr/>
        </xdr:nvGrpSpPr>
        <xdr:grpSpPr>
          <a:xfrm rot="10800000">
            <a:off x="9398434" y="11006751"/>
            <a:ext cx="240860" cy="342848"/>
            <a:chOff x="6824441" y="4988623"/>
            <a:chExt cx="275394" cy="344138"/>
          </a:xfrm>
        </xdr:grpSpPr>
        <xdr:sp macro="" textlink="">
          <xdr:nvSpPr>
            <xdr:cNvPr id="39" name="Line 154">
              <a:extLst>
                <a:ext uri="{FF2B5EF4-FFF2-40B4-BE49-F238E27FC236}">
                  <a16:creationId xmlns:a16="http://schemas.microsoft.com/office/drawing/2014/main" id="{44218668-EADD-4085-BDC5-C1ADBECE7D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093874" y="4988623"/>
              <a:ext cx="0" cy="307642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40" name="Line 164">
              <a:extLst>
                <a:ext uri="{FF2B5EF4-FFF2-40B4-BE49-F238E27FC236}">
                  <a16:creationId xmlns:a16="http://schemas.microsoft.com/office/drawing/2014/main" id="{9A755FDE-F538-7BFF-BB7F-2657E528BF88}"/>
                </a:ext>
              </a:extLst>
            </xdr:cNvPr>
            <xdr:cNvSpPr>
              <a:spLocks noChangeShapeType="1"/>
            </xdr:cNvSpPr>
          </xdr:nvSpPr>
          <xdr:spPr bwMode="auto">
            <a:xfrm rot="16200000">
              <a:off x="6945942" y="5178869"/>
              <a:ext cx="32391" cy="275394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 type="triangle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4E5E3346-ED0D-BB73-4ADC-5C838B5FC19D}"/>
              </a:ext>
            </a:extLst>
          </xdr:cNvPr>
          <xdr:cNvSpPr>
            <a:spLocks noChangeShapeType="1"/>
          </xdr:cNvSpPr>
        </xdr:nvSpPr>
        <xdr:spPr bwMode="auto">
          <a:xfrm flipV="1">
            <a:off x="8853146" y="10997256"/>
            <a:ext cx="185374" cy="35234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" name="Freeform 84">
            <a:extLst>
              <a:ext uri="{FF2B5EF4-FFF2-40B4-BE49-F238E27FC236}">
                <a16:creationId xmlns:a16="http://schemas.microsoft.com/office/drawing/2014/main" id="{EB08E901-8B88-C0C7-5505-6F5F275F395A}"/>
              </a:ext>
            </a:extLst>
          </xdr:cNvPr>
          <xdr:cNvSpPr/>
        </xdr:nvSpPr>
        <xdr:spPr>
          <a:xfrm>
            <a:off x="9942739" y="11024676"/>
            <a:ext cx="133350" cy="324000"/>
          </a:xfrm>
          <a:custGeom>
            <a:avLst/>
            <a:gdLst>
              <a:gd name="connsiteX0" fmla="*/ 0 w 104775"/>
              <a:gd name="connsiteY0" fmla="*/ 304800 h 304800"/>
              <a:gd name="connsiteX1" fmla="*/ 0 w 104775"/>
              <a:gd name="connsiteY1" fmla="*/ 0 h 304800"/>
              <a:gd name="connsiteX2" fmla="*/ 104775 w 104775"/>
              <a:gd name="connsiteY2" fmla="*/ 9525 h 304800"/>
              <a:gd name="connsiteX3" fmla="*/ 104775 w 104775"/>
              <a:gd name="connsiteY3" fmla="*/ 190500 h 304800"/>
              <a:gd name="connsiteX0" fmla="*/ 0 w 114300"/>
              <a:gd name="connsiteY0" fmla="*/ 323850 h 323850"/>
              <a:gd name="connsiteX1" fmla="*/ 0 w 114300"/>
              <a:gd name="connsiteY1" fmla="*/ 19050 h 323850"/>
              <a:gd name="connsiteX2" fmla="*/ 114300 w 114300"/>
              <a:gd name="connsiteY2" fmla="*/ 0 h 323850"/>
              <a:gd name="connsiteX3" fmla="*/ 104775 w 114300"/>
              <a:gd name="connsiteY3" fmla="*/ 209550 h 323850"/>
              <a:gd name="connsiteX0" fmla="*/ 0 w 104775"/>
              <a:gd name="connsiteY0" fmla="*/ 305991 h 305991"/>
              <a:gd name="connsiteX1" fmla="*/ 0 w 104775"/>
              <a:gd name="connsiteY1" fmla="*/ 1191 h 305991"/>
              <a:gd name="connsiteX2" fmla="*/ 102394 w 104775"/>
              <a:gd name="connsiteY2" fmla="*/ 0 h 305991"/>
              <a:gd name="connsiteX3" fmla="*/ 104775 w 104775"/>
              <a:gd name="connsiteY3" fmla="*/ 191691 h 30599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04775" h="305991">
                <a:moveTo>
                  <a:pt x="0" y="305991"/>
                </a:moveTo>
                <a:lnTo>
                  <a:pt x="0" y="1191"/>
                </a:lnTo>
                <a:lnTo>
                  <a:pt x="102394" y="0"/>
                </a:lnTo>
                <a:cubicBezTo>
                  <a:pt x="103188" y="63897"/>
                  <a:pt x="103981" y="127794"/>
                  <a:pt x="104775" y="191691"/>
                </a:cubicBezTo>
              </a:path>
            </a:pathLst>
          </a:custGeom>
          <a:ln w="2540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30</xdr:col>
      <xdr:colOff>162472</xdr:colOff>
      <xdr:row>25</xdr:row>
      <xdr:rowOff>51404</xdr:rowOff>
    </xdr:from>
    <xdr:to>
      <xdr:col>30</xdr:col>
      <xdr:colOff>274072</xdr:colOff>
      <xdr:row>27</xdr:row>
      <xdr:rowOff>97079</xdr:rowOff>
    </xdr:to>
    <xdr:sp macro="" textlink="">
      <xdr:nvSpPr>
        <xdr:cNvPr id="43" name="AutoShape 186">
          <a:extLst>
            <a:ext uri="{FF2B5EF4-FFF2-40B4-BE49-F238E27FC236}">
              <a16:creationId xmlns:a16="http://schemas.microsoft.com/office/drawing/2014/main" id="{0D56C684-75E2-4687-AE2F-8602D79DCA12}"/>
            </a:ext>
          </a:extLst>
        </xdr:cNvPr>
        <xdr:cNvSpPr>
          <a:spLocks noChangeArrowheads="1"/>
        </xdr:cNvSpPr>
      </xdr:nvSpPr>
      <xdr:spPr bwMode="auto">
        <a:xfrm rot="16200000" flipV="1">
          <a:off x="6943897" y="5338154"/>
          <a:ext cx="360000" cy="111600"/>
        </a:xfrm>
        <a:prstGeom prst="rightArrow">
          <a:avLst>
            <a:gd name="adj1" fmla="val 50000"/>
            <a:gd name="adj2" fmla="val 9529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162473</xdr:colOff>
      <xdr:row>25</xdr:row>
      <xdr:rowOff>32354</xdr:rowOff>
    </xdr:from>
    <xdr:to>
      <xdr:col>48</xdr:col>
      <xdr:colOff>274073</xdr:colOff>
      <xdr:row>27</xdr:row>
      <xdr:rowOff>78029</xdr:rowOff>
    </xdr:to>
    <xdr:sp macro="" textlink="">
      <xdr:nvSpPr>
        <xdr:cNvPr id="44" name="AutoShape 186">
          <a:extLst>
            <a:ext uri="{FF2B5EF4-FFF2-40B4-BE49-F238E27FC236}">
              <a16:creationId xmlns:a16="http://schemas.microsoft.com/office/drawing/2014/main" id="{2BFCBE08-71BB-4859-84B2-268224B057C6}"/>
            </a:ext>
          </a:extLst>
        </xdr:cNvPr>
        <xdr:cNvSpPr>
          <a:spLocks noChangeArrowheads="1"/>
        </xdr:cNvSpPr>
      </xdr:nvSpPr>
      <xdr:spPr bwMode="auto">
        <a:xfrm rot="5400000" flipV="1">
          <a:off x="11915948" y="5319104"/>
          <a:ext cx="360000" cy="111600"/>
        </a:xfrm>
        <a:prstGeom prst="rightArrow">
          <a:avLst>
            <a:gd name="adj1" fmla="val 50000"/>
            <a:gd name="adj2" fmla="val 9529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23696</xdr:colOff>
      <xdr:row>26</xdr:row>
      <xdr:rowOff>152399</xdr:rowOff>
    </xdr:from>
    <xdr:to>
      <xdr:col>22</xdr:col>
      <xdr:colOff>259871</xdr:colOff>
      <xdr:row>27</xdr:row>
      <xdr:rowOff>72047</xdr:rowOff>
    </xdr:to>
    <xdr:sp macro="" textlink="">
      <xdr:nvSpPr>
        <xdr:cNvPr id="45" name="AutoShape 83">
          <a:extLst>
            <a:ext uri="{FF2B5EF4-FFF2-40B4-BE49-F238E27FC236}">
              <a16:creationId xmlns:a16="http://schemas.microsoft.com/office/drawing/2014/main" id="{26E0B3C2-0CBC-4C33-9C5B-7E3ED06B77F5}"/>
            </a:ext>
          </a:extLst>
        </xdr:cNvPr>
        <xdr:cNvSpPr>
          <a:spLocks noChangeArrowheads="1"/>
        </xdr:cNvSpPr>
      </xdr:nvSpPr>
      <xdr:spPr bwMode="auto">
        <a:xfrm flipV="1">
          <a:off x="4595696" y="5438774"/>
          <a:ext cx="360000" cy="110148"/>
        </a:xfrm>
        <a:prstGeom prst="rightArrow">
          <a:avLst>
            <a:gd name="adj1" fmla="val 50000"/>
            <a:gd name="adj2" fmla="val 8653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33220</xdr:colOff>
      <xdr:row>50</xdr:row>
      <xdr:rowOff>142524</xdr:rowOff>
    </xdr:from>
    <xdr:to>
      <xdr:col>22</xdr:col>
      <xdr:colOff>269395</xdr:colOff>
      <xdr:row>51</xdr:row>
      <xdr:rowOff>63624</xdr:rowOff>
    </xdr:to>
    <xdr:sp macro="" textlink="">
      <xdr:nvSpPr>
        <xdr:cNvPr id="46" name="AutoShape 86">
          <a:extLst>
            <a:ext uri="{FF2B5EF4-FFF2-40B4-BE49-F238E27FC236}">
              <a16:creationId xmlns:a16="http://schemas.microsoft.com/office/drawing/2014/main" id="{039FA5C1-AACB-48C4-AB8E-1466317CCBC1}"/>
            </a:ext>
          </a:extLst>
        </xdr:cNvPr>
        <xdr:cNvSpPr>
          <a:spLocks noChangeArrowheads="1"/>
        </xdr:cNvSpPr>
      </xdr:nvSpPr>
      <xdr:spPr bwMode="auto">
        <a:xfrm flipH="1" flipV="1">
          <a:off x="4605220" y="9467499"/>
          <a:ext cx="360000" cy="111600"/>
        </a:xfrm>
        <a:prstGeom prst="rightArrow">
          <a:avLst>
            <a:gd name="adj1" fmla="val 50000"/>
            <a:gd name="adj2" fmla="val 82692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9525</xdr:rowOff>
    </xdr:from>
    <xdr:to>
      <xdr:col>22</xdr:col>
      <xdr:colOff>257239</xdr:colOff>
      <xdr:row>42</xdr:row>
      <xdr:rowOff>124922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A1D8400B-9E52-4B32-B008-DAA928E26AD1}"/>
            </a:ext>
          </a:extLst>
        </xdr:cNvPr>
        <xdr:cNvGrpSpPr/>
      </xdr:nvGrpSpPr>
      <xdr:grpSpPr>
        <a:xfrm rot="10800000">
          <a:off x="4635500" y="5480050"/>
          <a:ext cx="387414" cy="2337897"/>
          <a:chOff x="14258936" y="8409458"/>
          <a:chExt cx="381064" cy="2325197"/>
        </a:xfrm>
      </xdr:grpSpPr>
      <xdr:grpSp>
        <xdr:nvGrpSpPr>
          <xdr:cNvPr id="48" name="Group 175">
            <a:extLst>
              <a:ext uri="{FF2B5EF4-FFF2-40B4-BE49-F238E27FC236}">
                <a16:creationId xmlns:a16="http://schemas.microsoft.com/office/drawing/2014/main" id="{C7EE6AAB-3907-05F9-A118-7FC6FB0B3253}"/>
              </a:ext>
            </a:extLst>
          </xdr:cNvPr>
          <xdr:cNvGrpSpPr/>
        </xdr:nvGrpSpPr>
        <xdr:grpSpPr>
          <a:xfrm>
            <a:off x="14258936" y="10530495"/>
            <a:ext cx="381008" cy="204160"/>
            <a:chOff x="18047499" y="14232227"/>
            <a:chExt cx="455083" cy="313251"/>
          </a:xfrm>
        </xdr:grpSpPr>
        <xdr:sp macro="" textlink="">
          <xdr:nvSpPr>
            <xdr:cNvPr id="55" name="Line 154">
              <a:extLst>
                <a:ext uri="{FF2B5EF4-FFF2-40B4-BE49-F238E27FC236}">
                  <a16:creationId xmlns:a16="http://schemas.microsoft.com/office/drawing/2014/main" id="{E4D2885B-52CB-995E-8BE8-E0B168A906D0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8322728" y="14057385"/>
              <a:ext cx="0" cy="359709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56" name="Line 164">
              <a:extLst>
                <a:ext uri="{FF2B5EF4-FFF2-40B4-BE49-F238E27FC236}">
                  <a16:creationId xmlns:a16="http://schemas.microsoft.com/office/drawing/2014/main" id="{194EBA32-BBE1-AA66-6650-099F38A8AA2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047499" y="14232227"/>
              <a:ext cx="90574" cy="313251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49" name="Group 176">
            <a:extLst>
              <a:ext uri="{FF2B5EF4-FFF2-40B4-BE49-F238E27FC236}">
                <a16:creationId xmlns:a16="http://schemas.microsoft.com/office/drawing/2014/main" id="{87A15B8B-7BC7-4E05-66F7-CC187A0E426C}"/>
              </a:ext>
            </a:extLst>
          </xdr:cNvPr>
          <xdr:cNvGrpSpPr/>
        </xdr:nvGrpSpPr>
        <xdr:grpSpPr>
          <a:xfrm>
            <a:off x="14334750" y="8839197"/>
            <a:ext cx="305177" cy="206689"/>
            <a:chOff x="18138073" y="12397641"/>
            <a:chExt cx="364509" cy="317129"/>
          </a:xfrm>
        </xdr:grpSpPr>
        <xdr:sp macro="" textlink="">
          <xdr:nvSpPr>
            <xdr:cNvPr id="53" name="Line 153">
              <a:extLst>
                <a:ext uri="{FF2B5EF4-FFF2-40B4-BE49-F238E27FC236}">
                  <a16:creationId xmlns:a16="http://schemas.microsoft.com/office/drawing/2014/main" id="{01DC5D9B-51D7-BB77-7D88-718BBE510647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8322582" y="12534770"/>
              <a:ext cx="0" cy="360000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54" name="Line 170">
              <a:extLst>
                <a:ext uri="{FF2B5EF4-FFF2-40B4-BE49-F238E27FC236}">
                  <a16:creationId xmlns:a16="http://schemas.microsoft.com/office/drawing/2014/main" id="{1CECB61D-A99A-0488-E150-447212B00F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8138073" y="12397641"/>
              <a:ext cx="102839" cy="317044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50" name="Line 150">
            <a:extLst>
              <a:ext uri="{FF2B5EF4-FFF2-40B4-BE49-F238E27FC236}">
                <a16:creationId xmlns:a16="http://schemas.microsoft.com/office/drawing/2014/main" id="{A1F32AFD-0A62-BBF4-F153-1B1871A9C21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14416496" y="9307848"/>
            <a:ext cx="85352" cy="36150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1" name="Line 150">
            <a:extLst>
              <a:ext uri="{FF2B5EF4-FFF2-40B4-BE49-F238E27FC236}">
                <a16:creationId xmlns:a16="http://schemas.microsoft.com/office/drawing/2014/main" id="{8C835F0D-0BB5-21BB-BEC6-4EBA90A022B1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14459851" y="9880931"/>
            <a:ext cx="0" cy="360141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2" name="Freeform 89">
            <a:extLst>
              <a:ext uri="{FF2B5EF4-FFF2-40B4-BE49-F238E27FC236}">
                <a16:creationId xmlns:a16="http://schemas.microsoft.com/office/drawing/2014/main" id="{44DCE3C5-B350-B176-40FE-C11775E67292}"/>
              </a:ext>
            </a:extLst>
          </xdr:cNvPr>
          <xdr:cNvSpPr/>
        </xdr:nvSpPr>
        <xdr:spPr>
          <a:xfrm rot="16200000">
            <a:off x="14411325" y="8314133"/>
            <a:ext cx="133350" cy="324000"/>
          </a:xfrm>
          <a:custGeom>
            <a:avLst/>
            <a:gdLst>
              <a:gd name="connsiteX0" fmla="*/ 0 w 104775"/>
              <a:gd name="connsiteY0" fmla="*/ 304800 h 304800"/>
              <a:gd name="connsiteX1" fmla="*/ 0 w 104775"/>
              <a:gd name="connsiteY1" fmla="*/ 0 h 304800"/>
              <a:gd name="connsiteX2" fmla="*/ 104775 w 104775"/>
              <a:gd name="connsiteY2" fmla="*/ 9525 h 304800"/>
              <a:gd name="connsiteX3" fmla="*/ 104775 w 104775"/>
              <a:gd name="connsiteY3" fmla="*/ 190500 h 304800"/>
              <a:gd name="connsiteX0" fmla="*/ 0 w 114300"/>
              <a:gd name="connsiteY0" fmla="*/ 323850 h 323850"/>
              <a:gd name="connsiteX1" fmla="*/ 0 w 114300"/>
              <a:gd name="connsiteY1" fmla="*/ 19050 h 323850"/>
              <a:gd name="connsiteX2" fmla="*/ 114300 w 114300"/>
              <a:gd name="connsiteY2" fmla="*/ 0 h 323850"/>
              <a:gd name="connsiteX3" fmla="*/ 104775 w 114300"/>
              <a:gd name="connsiteY3" fmla="*/ 209550 h 323850"/>
              <a:gd name="connsiteX0" fmla="*/ 0 w 104775"/>
              <a:gd name="connsiteY0" fmla="*/ 305991 h 305991"/>
              <a:gd name="connsiteX1" fmla="*/ 0 w 104775"/>
              <a:gd name="connsiteY1" fmla="*/ 1191 h 305991"/>
              <a:gd name="connsiteX2" fmla="*/ 102394 w 104775"/>
              <a:gd name="connsiteY2" fmla="*/ 0 h 305991"/>
              <a:gd name="connsiteX3" fmla="*/ 104775 w 104775"/>
              <a:gd name="connsiteY3" fmla="*/ 191691 h 30599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04775" h="305991">
                <a:moveTo>
                  <a:pt x="0" y="305991"/>
                </a:moveTo>
                <a:lnTo>
                  <a:pt x="0" y="1191"/>
                </a:lnTo>
                <a:lnTo>
                  <a:pt x="102394" y="0"/>
                </a:lnTo>
                <a:cubicBezTo>
                  <a:pt x="103188" y="63897"/>
                  <a:pt x="103981" y="127794"/>
                  <a:pt x="104775" y="191691"/>
                </a:cubicBezTo>
              </a:path>
            </a:pathLst>
          </a:custGeom>
          <a:ln w="2540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56</xdr:col>
      <xdr:colOff>171450</xdr:colOff>
      <xdr:row>35</xdr:row>
      <xdr:rowOff>95250</xdr:rowOff>
    </xdr:from>
    <xdr:to>
      <xdr:col>58</xdr:col>
      <xdr:colOff>65</xdr:colOff>
      <xdr:row>49</xdr:row>
      <xdr:rowOff>23386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371FF101-FE33-4824-9D98-85CE06897ECE}"/>
            </a:ext>
          </a:extLst>
        </xdr:cNvPr>
        <xdr:cNvGrpSpPr/>
      </xdr:nvGrpSpPr>
      <xdr:grpSpPr>
        <a:xfrm rot="10800000">
          <a:off x="14433550" y="6578600"/>
          <a:ext cx="387415" cy="2341136"/>
          <a:chOff x="4571925" y="7334240"/>
          <a:chExt cx="381065" cy="2322993"/>
        </a:xfrm>
      </xdr:grpSpPr>
      <xdr:sp macro="" textlink="">
        <xdr:nvSpPr>
          <xdr:cNvPr id="59" name="Line 150">
            <a:extLst>
              <a:ext uri="{FF2B5EF4-FFF2-40B4-BE49-F238E27FC236}">
                <a16:creationId xmlns:a16="http://schemas.microsoft.com/office/drawing/2014/main" id="{B80D2A50-F8BC-32D7-698C-9F4FD25EA3F0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4713507" y="7832588"/>
            <a:ext cx="82249" cy="362788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60" name="Group 82">
            <a:extLst>
              <a:ext uri="{FF2B5EF4-FFF2-40B4-BE49-F238E27FC236}">
                <a16:creationId xmlns:a16="http://schemas.microsoft.com/office/drawing/2014/main" id="{31CFB570-E23B-8FA2-F95A-467B88AD637A}"/>
              </a:ext>
            </a:extLst>
          </xdr:cNvPr>
          <xdr:cNvGrpSpPr/>
        </xdr:nvGrpSpPr>
        <xdr:grpSpPr>
          <a:xfrm rot="10800000">
            <a:off x="4573236" y="7334240"/>
            <a:ext cx="288389" cy="226498"/>
            <a:chOff x="18138074" y="14232227"/>
            <a:chExt cx="364508" cy="347523"/>
          </a:xfrm>
        </xdr:grpSpPr>
        <xdr:sp macro="" textlink="">
          <xdr:nvSpPr>
            <xdr:cNvPr id="18436" name="Line 154">
              <a:extLst>
                <a:ext uri="{FF2B5EF4-FFF2-40B4-BE49-F238E27FC236}">
                  <a16:creationId xmlns:a16="http://schemas.microsoft.com/office/drawing/2014/main" id="{913CB564-0FC4-8FFD-04D3-F864640DB972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8322728" y="14057385"/>
              <a:ext cx="0" cy="359709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8437" name="Line 164">
              <a:extLst>
                <a:ext uri="{FF2B5EF4-FFF2-40B4-BE49-F238E27FC236}">
                  <a16:creationId xmlns:a16="http://schemas.microsoft.com/office/drawing/2014/main" id="{15417253-A975-5257-CA56-89FA5E764F3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8138074" y="14232227"/>
              <a:ext cx="89169" cy="347523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grpSp>
        <xdr:nvGrpSpPr>
          <xdr:cNvPr id="61" name="Group 83">
            <a:extLst>
              <a:ext uri="{FF2B5EF4-FFF2-40B4-BE49-F238E27FC236}">
                <a16:creationId xmlns:a16="http://schemas.microsoft.com/office/drawing/2014/main" id="{4327D558-AF21-E3C5-8590-B30E707DD7EB}"/>
              </a:ext>
            </a:extLst>
          </xdr:cNvPr>
          <xdr:cNvGrpSpPr/>
        </xdr:nvGrpSpPr>
        <xdr:grpSpPr>
          <a:xfrm rot="10800000">
            <a:off x="4573225" y="9045401"/>
            <a:ext cx="379765" cy="212907"/>
            <a:chOff x="18022580" y="12388099"/>
            <a:chExt cx="480002" cy="326671"/>
          </a:xfrm>
        </xdr:grpSpPr>
        <xdr:sp macro="" textlink="">
          <xdr:nvSpPr>
            <xdr:cNvPr id="18432" name="Line 153">
              <a:extLst>
                <a:ext uri="{FF2B5EF4-FFF2-40B4-BE49-F238E27FC236}">
                  <a16:creationId xmlns:a16="http://schemas.microsoft.com/office/drawing/2014/main" id="{EB84A5FF-CF49-78DB-17D8-32D2760F52E4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8322582" y="12534770"/>
              <a:ext cx="0" cy="360000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8435" name="Line 170">
              <a:extLst>
                <a:ext uri="{FF2B5EF4-FFF2-40B4-BE49-F238E27FC236}">
                  <a16:creationId xmlns:a16="http://schemas.microsoft.com/office/drawing/2014/main" id="{11FE35C5-1C8C-F6AA-57FE-7971B072EA45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022580" y="12388099"/>
              <a:ext cx="115494" cy="326588"/>
            </a:xfrm>
            <a:prstGeom prst="line">
              <a:avLst/>
            </a:prstGeom>
            <a:noFill/>
            <a:ln w="25400">
              <a:solidFill>
                <a:srgbClr val="000000"/>
              </a:solidFill>
              <a:round/>
              <a:headEnd/>
              <a:tailEnd type="triangl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2" name="Line 150">
            <a:extLst>
              <a:ext uri="{FF2B5EF4-FFF2-40B4-BE49-F238E27FC236}">
                <a16:creationId xmlns:a16="http://schemas.microsoft.com/office/drawing/2014/main" id="{796A8ABD-14AA-4DEE-30E3-06874B33B65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742583" y="8390656"/>
            <a:ext cx="31546" cy="370241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3" name="Freeform 92">
            <a:extLst>
              <a:ext uri="{FF2B5EF4-FFF2-40B4-BE49-F238E27FC236}">
                <a16:creationId xmlns:a16="http://schemas.microsoft.com/office/drawing/2014/main" id="{11486612-8DBC-D96F-041B-200495BF564B}"/>
              </a:ext>
            </a:extLst>
          </xdr:cNvPr>
          <xdr:cNvSpPr/>
        </xdr:nvSpPr>
        <xdr:spPr>
          <a:xfrm rot="5400000">
            <a:off x="4667250" y="9428558"/>
            <a:ext cx="133350" cy="324000"/>
          </a:xfrm>
          <a:custGeom>
            <a:avLst/>
            <a:gdLst>
              <a:gd name="connsiteX0" fmla="*/ 0 w 104775"/>
              <a:gd name="connsiteY0" fmla="*/ 304800 h 304800"/>
              <a:gd name="connsiteX1" fmla="*/ 0 w 104775"/>
              <a:gd name="connsiteY1" fmla="*/ 0 h 304800"/>
              <a:gd name="connsiteX2" fmla="*/ 104775 w 104775"/>
              <a:gd name="connsiteY2" fmla="*/ 9525 h 304800"/>
              <a:gd name="connsiteX3" fmla="*/ 104775 w 104775"/>
              <a:gd name="connsiteY3" fmla="*/ 190500 h 304800"/>
              <a:gd name="connsiteX0" fmla="*/ 0 w 114300"/>
              <a:gd name="connsiteY0" fmla="*/ 323850 h 323850"/>
              <a:gd name="connsiteX1" fmla="*/ 0 w 114300"/>
              <a:gd name="connsiteY1" fmla="*/ 19050 h 323850"/>
              <a:gd name="connsiteX2" fmla="*/ 114300 w 114300"/>
              <a:gd name="connsiteY2" fmla="*/ 0 h 323850"/>
              <a:gd name="connsiteX3" fmla="*/ 104775 w 114300"/>
              <a:gd name="connsiteY3" fmla="*/ 209550 h 323850"/>
              <a:gd name="connsiteX0" fmla="*/ 0 w 104775"/>
              <a:gd name="connsiteY0" fmla="*/ 305991 h 305991"/>
              <a:gd name="connsiteX1" fmla="*/ 0 w 104775"/>
              <a:gd name="connsiteY1" fmla="*/ 1191 h 305991"/>
              <a:gd name="connsiteX2" fmla="*/ 102394 w 104775"/>
              <a:gd name="connsiteY2" fmla="*/ 0 h 305991"/>
              <a:gd name="connsiteX3" fmla="*/ 104775 w 104775"/>
              <a:gd name="connsiteY3" fmla="*/ 191691 h 30599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04775" h="305991">
                <a:moveTo>
                  <a:pt x="0" y="305991"/>
                </a:moveTo>
                <a:lnTo>
                  <a:pt x="0" y="1191"/>
                </a:lnTo>
                <a:lnTo>
                  <a:pt x="102394" y="0"/>
                </a:lnTo>
                <a:cubicBezTo>
                  <a:pt x="103188" y="63897"/>
                  <a:pt x="103981" y="127794"/>
                  <a:pt x="104775" y="191691"/>
                </a:cubicBezTo>
              </a:path>
            </a:pathLst>
          </a:custGeom>
          <a:ln w="2540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56</xdr:col>
      <xdr:colOff>152400</xdr:colOff>
      <xdr:row>26</xdr:row>
      <xdr:rowOff>123824</xdr:rowOff>
    </xdr:from>
    <xdr:to>
      <xdr:col>57</xdr:col>
      <xdr:colOff>83775</xdr:colOff>
      <xdr:row>27</xdr:row>
      <xdr:rowOff>43472</xdr:rowOff>
    </xdr:to>
    <xdr:sp macro="" textlink="">
      <xdr:nvSpPr>
        <xdr:cNvPr id="18438" name="AutoShape 83">
          <a:extLst>
            <a:ext uri="{FF2B5EF4-FFF2-40B4-BE49-F238E27FC236}">
              <a16:creationId xmlns:a16="http://schemas.microsoft.com/office/drawing/2014/main" id="{3C6903D6-038F-4B86-B6FC-F78ECB1E5C72}"/>
            </a:ext>
          </a:extLst>
        </xdr:cNvPr>
        <xdr:cNvSpPr>
          <a:spLocks noChangeArrowheads="1"/>
        </xdr:cNvSpPr>
      </xdr:nvSpPr>
      <xdr:spPr bwMode="auto">
        <a:xfrm flipV="1">
          <a:off x="14239875" y="5410199"/>
          <a:ext cx="360000" cy="110148"/>
        </a:xfrm>
        <a:prstGeom prst="rightArrow">
          <a:avLst>
            <a:gd name="adj1" fmla="val 50000"/>
            <a:gd name="adj2" fmla="val 86538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171217</xdr:colOff>
      <xdr:row>50</xdr:row>
      <xdr:rowOff>142524</xdr:rowOff>
    </xdr:from>
    <xdr:to>
      <xdr:col>57</xdr:col>
      <xdr:colOff>102592</xdr:colOff>
      <xdr:row>51</xdr:row>
      <xdr:rowOff>63624</xdr:rowOff>
    </xdr:to>
    <xdr:sp macro="" textlink="">
      <xdr:nvSpPr>
        <xdr:cNvPr id="18439" name="AutoShape 86">
          <a:extLst>
            <a:ext uri="{FF2B5EF4-FFF2-40B4-BE49-F238E27FC236}">
              <a16:creationId xmlns:a16="http://schemas.microsoft.com/office/drawing/2014/main" id="{3E9F0D07-3DBE-4053-B5A2-480D97DB16A2}"/>
            </a:ext>
          </a:extLst>
        </xdr:cNvPr>
        <xdr:cNvSpPr>
          <a:spLocks noChangeArrowheads="1"/>
        </xdr:cNvSpPr>
      </xdr:nvSpPr>
      <xdr:spPr bwMode="auto">
        <a:xfrm flipH="1" flipV="1">
          <a:off x="14258692" y="9467499"/>
          <a:ext cx="360000" cy="111600"/>
        </a:xfrm>
        <a:prstGeom prst="rightArrow">
          <a:avLst>
            <a:gd name="adj1" fmla="val 50000"/>
            <a:gd name="adj2" fmla="val 82692"/>
          </a:avLst>
        </a:prstGeom>
        <a:solidFill>
          <a:srgbClr val="3333FF"/>
        </a:solidFill>
        <a:ln w="38100">
          <a:solidFill>
            <a:srgbClr val="3333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134552</xdr:colOff>
      <xdr:row>10</xdr:row>
      <xdr:rowOff>161976</xdr:rowOff>
    </xdr:from>
    <xdr:to>
      <xdr:col>70</xdr:col>
      <xdr:colOff>138545</xdr:colOff>
      <xdr:row>74</xdr:row>
      <xdr:rowOff>19050</xdr:rowOff>
    </xdr:to>
    <xdr:grpSp>
      <xdr:nvGrpSpPr>
        <xdr:cNvPr id="18441" name="그룹 18440">
          <a:extLst>
            <a:ext uri="{FF2B5EF4-FFF2-40B4-BE49-F238E27FC236}">
              <a16:creationId xmlns:a16="http://schemas.microsoft.com/office/drawing/2014/main" id="{F8C02828-0AC2-427D-AEDD-0D3769B904BD}"/>
            </a:ext>
          </a:extLst>
        </xdr:cNvPr>
        <xdr:cNvGrpSpPr/>
      </xdr:nvGrpSpPr>
      <xdr:grpSpPr>
        <a:xfrm>
          <a:off x="1836352" y="2273351"/>
          <a:ext cx="15882168" cy="10921949"/>
          <a:chOff x="1885156" y="2303318"/>
          <a:chExt cx="15721335" cy="12022117"/>
        </a:xfrm>
      </xdr:grpSpPr>
      <xdr:grpSp>
        <xdr:nvGrpSpPr>
          <xdr:cNvPr id="18442" name="Group 14338">
            <a:extLst>
              <a:ext uri="{FF2B5EF4-FFF2-40B4-BE49-F238E27FC236}">
                <a16:creationId xmlns:a16="http://schemas.microsoft.com/office/drawing/2014/main" id="{91B78472-0747-10B0-D753-059569808090}"/>
              </a:ext>
            </a:extLst>
          </xdr:cNvPr>
          <xdr:cNvGrpSpPr/>
        </xdr:nvGrpSpPr>
        <xdr:grpSpPr>
          <a:xfrm rot="10800000">
            <a:off x="13204831" y="2303318"/>
            <a:ext cx="4159323" cy="3679181"/>
            <a:chOff x="3383121" y="9724843"/>
            <a:chExt cx="3768474" cy="3260737"/>
          </a:xfrm>
        </xdr:grpSpPr>
        <xdr:sp macro="" textlink="">
          <xdr:nvSpPr>
            <xdr:cNvPr id="18455" name="Freeform 27">
              <a:extLst>
                <a:ext uri="{FF2B5EF4-FFF2-40B4-BE49-F238E27FC236}">
                  <a16:creationId xmlns:a16="http://schemas.microsoft.com/office/drawing/2014/main" id="{81A149BC-4ED5-52DE-864A-229573DED0CA}"/>
                </a:ext>
              </a:extLst>
            </xdr:cNvPr>
            <xdr:cNvSpPr/>
          </xdr:nvSpPr>
          <xdr:spPr>
            <a:xfrm flipH="1">
              <a:off x="7062120" y="9724843"/>
              <a:ext cx="89475" cy="3260737"/>
            </a:xfrm>
            <a:custGeom>
              <a:avLst/>
              <a:gdLst>
                <a:gd name="connsiteX0" fmla="*/ 0 w 9525"/>
                <a:gd name="connsiteY0" fmla="*/ 0 h 3209925"/>
                <a:gd name="connsiteX1" fmla="*/ 9525 w 9525"/>
                <a:gd name="connsiteY1" fmla="*/ 3209925 h 3209925"/>
                <a:gd name="connsiteX2" fmla="*/ 9525 w 9525"/>
                <a:gd name="connsiteY2" fmla="*/ 3209925 h 32099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9525" h="3209925">
                  <a:moveTo>
                    <a:pt x="0" y="0"/>
                  </a:moveTo>
                  <a:lnTo>
                    <a:pt x="9525" y="3209925"/>
                  </a:lnTo>
                  <a:lnTo>
                    <a:pt x="9525" y="3209925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456" name="Freeform 14335">
              <a:extLst>
                <a:ext uri="{FF2B5EF4-FFF2-40B4-BE49-F238E27FC236}">
                  <a16:creationId xmlns:a16="http://schemas.microsoft.com/office/drawing/2014/main" id="{27571BE4-AE4E-3CBF-139D-3858A46A579B}"/>
                </a:ext>
              </a:extLst>
            </xdr:cNvPr>
            <xdr:cNvSpPr/>
          </xdr:nvSpPr>
          <xdr:spPr>
            <a:xfrm>
              <a:off x="3383121" y="9725025"/>
              <a:ext cx="3768473" cy="1882946"/>
            </a:xfrm>
            <a:custGeom>
              <a:avLst/>
              <a:gdLst>
                <a:gd name="connsiteX0" fmla="*/ 4400550 w 4400550"/>
                <a:gd name="connsiteY0" fmla="*/ 0 h 2038350"/>
                <a:gd name="connsiteX1" fmla="*/ 2181225 w 4400550"/>
                <a:gd name="connsiteY1" fmla="*/ 1419225 h 2038350"/>
                <a:gd name="connsiteX2" fmla="*/ 0 w 4400550"/>
                <a:gd name="connsiteY2" fmla="*/ 2038350 h 2038350"/>
                <a:gd name="connsiteX0" fmla="*/ 4400550 w 4400550"/>
                <a:gd name="connsiteY0" fmla="*/ 0 h 2038350"/>
                <a:gd name="connsiteX1" fmla="*/ 2181225 w 4400550"/>
                <a:gd name="connsiteY1" fmla="*/ 1419225 h 2038350"/>
                <a:gd name="connsiteX2" fmla="*/ 0 w 4400550"/>
                <a:gd name="connsiteY2" fmla="*/ 2038350 h 2038350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  <a:gd name="connsiteX0" fmla="*/ 4321478 w 4321478"/>
                <a:gd name="connsiteY0" fmla="*/ 0 h 2196966"/>
                <a:gd name="connsiteX1" fmla="*/ 2102153 w 4321478"/>
                <a:gd name="connsiteY1" fmla="*/ 1419225 h 2196966"/>
                <a:gd name="connsiteX2" fmla="*/ 0 w 4321478"/>
                <a:gd name="connsiteY2" fmla="*/ 2196966 h 219696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4321478" h="2196966">
                  <a:moveTo>
                    <a:pt x="4321478" y="0"/>
                  </a:moveTo>
                  <a:cubicBezTo>
                    <a:pt x="3578528" y="539750"/>
                    <a:pt x="2835577" y="1051508"/>
                    <a:pt x="2102153" y="1419225"/>
                  </a:cubicBezTo>
                  <a:cubicBezTo>
                    <a:pt x="1368729" y="1786942"/>
                    <a:pt x="383546" y="2169814"/>
                    <a:pt x="0" y="2196966"/>
                  </a:cubicBez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18443" name="Group 14339">
            <a:extLst>
              <a:ext uri="{FF2B5EF4-FFF2-40B4-BE49-F238E27FC236}">
                <a16:creationId xmlns:a16="http://schemas.microsoft.com/office/drawing/2014/main" id="{F7642F68-D5BE-98D9-F923-E43D1C9114DC}"/>
              </a:ext>
            </a:extLst>
          </xdr:cNvPr>
          <xdr:cNvGrpSpPr/>
        </xdr:nvGrpSpPr>
        <xdr:grpSpPr>
          <a:xfrm rot="10800000">
            <a:off x="1906456" y="2381759"/>
            <a:ext cx="4311825" cy="3600740"/>
            <a:chOff x="13626353" y="9724843"/>
            <a:chExt cx="3901102" cy="3191134"/>
          </a:xfrm>
        </xdr:grpSpPr>
        <xdr:sp macro="" textlink="">
          <xdr:nvSpPr>
            <xdr:cNvPr id="18453" name="Freeform 204">
              <a:extLst>
                <a:ext uri="{FF2B5EF4-FFF2-40B4-BE49-F238E27FC236}">
                  <a16:creationId xmlns:a16="http://schemas.microsoft.com/office/drawing/2014/main" id="{D7754D81-CE5A-E25A-9050-6AA0566EABCD}"/>
                </a:ext>
              </a:extLst>
            </xdr:cNvPr>
            <xdr:cNvSpPr/>
          </xdr:nvSpPr>
          <xdr:spPr>
            <a:xfrm>
              <a:off x="13626353" y="9724843"/>
              <a:ext cx="90352" cy="3191134"/>
            </a:xfrm>
            <a:custGeom>
              <a:avLst/>
              <a:gdLst>
                <a:gd name="connsiteX0" fmla="*/ 0 w 9525"/>
                <a:gd name="connsiteY0" fmla="*/ 0 h 3209925"/>
                <a:gd name="connsiteX1" fmla="*/ 9525 w 9525"/>
                <a:gd name="connsiteY1" fmla="*/ 3209925 h 3209925"/>
                <a:gd name="connsiteX2" fmla="*/ 9525 w 9525"/>
                <a:gd name="connsiteY2" fmla="*/ 3209925 h 32099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9525" h="3209925">
                  <a:moveTo>
                    <a:pt x="0" y="0"/>
                  </a:moveTo>
                  <a:lnTo>
                    <a:pt x="9525" y="3209925"/>
                  </a:lnTo>
                  <a:lnTo>
                    <a:pt x="9525" y="3209925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454" name="Freeform 14337">
              <a:extLst>
                <a:ext uri="{FF2B5EF4-FFF2-40B4-BE49-F238E27FC236}">
                  <a16:creationId xmlns:a16="http://schemas.microsoft.com/office/drawing/2014/main" id="{A1D016C3-E04E-A3F0-7557-6DA851CF7317}"/>
                </a:ext>
              </a:extLst>
            </xdr:cNvPr>
            <xdr:cNvSpPr/>
          </xdr:nvSpPr>
          <xdr:spPr>
            <a:xfrm>
              <a:off x="13626354" y="9725025"/>
              <a:ext cx="3901101" cy="1817280"/>
            </a:xfrm>
            <a:custGeom>
              <a:avLst/>
              <a:gdLst>
                <a:gd name="connsiteX0" fmla="*/ 0 w 4648200"/>
                <a:gd name="connsiteY0" fmla="*/ 0 h 2371725"/>
                <a:gd name="connsiteX1" fmla="*/ 2305050 w 4648200"/>
                <a:gd name="connsiteY1" fmla="*/ 1628775 h 2371725"/>
                <a:gd name="connsiteX2" fmla="*/ 4648200 w 4648200"/>
                <a:gd name="connsiteY2" fmla="*/ 2371725 h 2371725"/>
                <a:gd name="connsiteX0" fmla="*/ 0 w 4648200"/>
                <a:gd name="connsiteY0" fmla="*/ 0 h 2372047"/>
                <a:gd name="connsiteX1" fmla="*/ 2305050 w 4648200"/>
                <a:gd name="connsiteY1" fmla="*/ 1628775 h 2372047"/>
                <a:gd name="connsiteX2" fmla="*/ 4648200 w 4648200"/>
                <a:gd name="connsiteY2" fmla="*/ 2371725 h 237204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4648200" h="2372047">
                  <a:moveTo>
                    <a:pt x="0" y="0"/>
                  </a:moveTo>
                  <a:cubicBezTo>
                    <a:pt x="765175" y="616744"/>
                    <a:pt x="1530350" y="1233488"/>
                    <a:pt x="2305050" y="1628775"/>
                  </a:cubicBezTo>
                  <a:cubicBezTo>
                    <a:pt x="3079750" y="2024062"/>
                    <a:pt x="4337209" y="2384381"/>
                    <a:pt x="4648200" y="2371725"/>
                  </a:cubicBez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18444" name="Group 14343">
            <a:extLst>
              <a:ext uri="{FF2B5EF4-FFF2-40B4-BE49-F238E27FC236}">
                <a16:creationId xmlns:a16="http://schemas.microsoft.com/office/drawing/2014/main" id="{588F5E02-3BA3-5749-EF9D-6DEDC4D03B80}"/>
              </a:ext>
            </a:extLst>
          </xdr:cNvPr>
          <xdr:cNvGrpSpPr/>
        </xdr:nvGrpSpPr>
        <xdr:grpSpPr>
          <a:xfrm rot="10800000">
            <a:off x="14911817" y="9813385"/>
            <a:ext cx="2694674" cy="4484323"/>
            <a:chOff x="3159570" y="2431567"/>
            <a:chExt cx="2420958" cy="3905861"/>
          </a:xfrm>
        </xdr:grpSpPr>
        <xdr:sp macro="" textlink="">
          <xdr:nvSpPr>
            <xdr:cNvPr id="18451" name="Freeform 18">
              <a:extLst>
                <a:ext uri="{FF2B5EF4-FFF2-40B4-BE49-F238E27FC236}">
                  <a16:creationId xmlns:a16="http://schemas.microsoft.com/office/drawing/2014/main" id="{E497B9E3-9DF2-849A-FBB8-37323AF3AC78}"/>
                </a:ext>
              </a:extLst>
            </xdr:cNvPr>
            <xdr:cNvSpPr/>
          </xdr:nvSpPr>
          <xdr:spPr>
            <a:xfrm>
              <a:off x="3159570" y="5789334"/>
              <a:ext cx="2412386" cy="548094"/>
            </a:xfrm>
            <a:custGeom>
              <a:avLst/>
              <a:gdLst>
                <a:gd name="connsiteX0" fmla="*/ 2667000 w 2667000"/>
                <a:gd name="connsiteY0" fmla="*/ 0 h 1042147"/>
                <a:gd name="connsiteX1" fmla="*/ 1479176 w 2667000"/>
                <a:gd name="connsiteY1" fmla="*/ 291353 h 1042147"/>
                <a:gd name="connsiteX2" fmla="*/ 0 w 2667000"/>
                <a:gd name="connsiteY2" fmla="*/ 1042147 h 1042147"/>
                <a:gd name="connsiteX0" fmla="*/ 2667000 w 2667000"/>
                <a:gd name="connsiteY0" fmla="*/ 0 h 1042147"/>
                <a:gd name="connsiteX1" fmla="*/ 0 w 2667000"/>
                <a:gd name="connsiteY1" fmla="*/ 1042147 h 1042147"/>
                <a:gd name="connsiteX0" fmla="*/ 2576847 w 2576847"/>
                <a:gd name="connsiteY0" fmla="*/ 0 h 808552"/>
                <a:gd name="connsiteX1" fmla="*/ 0 w 2576847"/>
                <a:gd name="connsiteY1" fmla="*/ 808552 h 80855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576847" h="808552">
                  <a:moveTo>
                    <a:pt x="2576847" y="0"/>
                  </a:moveTo>
                  <a:lnTo>
                    <a:pt x="0" y="808552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452" name="Freeform 14340">
              <a:extLst>
                <a:ext uri="{FF2B5EF4-FFF2-40B4-BE49-F238E27FC236}">
                  <a16:creationId xmlns:a16="http://schemas.microsoft.com/office/drawing/2014/main" id="{8D44F98E-C0D8-08AC-B595-A006FBB244DF}"/>
                </a:ext>
              </a:extLst>
            </xdr:cNvPr>
            <xdr:cNvSpPr/>
          </xdr:nvSpPr>
          <xdr:spPr>
            <a:xfrm>
              <a:off x="3342473" y="2431567"/>
              <a:ext cx="2238055" cy="3368239"/>
            </a:xfrm>
            <a:custGeom>
              <a:avLst/>
              <a:gdLst>
                <a:gd name="connsiteX0" fmla="*/ 1893794 w 1893794"/>
                <a:gd name="connsiteY0" fmla="*/ 3384176 h 3384176"/>
                <a:gd name="connsiteX1" fmla="*/ 616324 w 1893794"/>
                <a:gd name="connsiteY1" fmla="*/ 1860176 h 3384176"/>
                <a:gd name="connsiteX2" fmla="*/ 0 w 1893794"/>
                <a:gd name="connsiteY2" fmla="*/ 0 h 3384176"/>
                <a:gd name="connsiteX0" fmla="*/ 2040212 w 2040212"/>
                <a:gd name="connsiteY0" fmla="*/ 3391849 h 3391849"/>
                <a:gd name="connsiteX1" fmla="*/ 762742 w 2040212"/>
                <a:gd name="connsiteY1" fmla="*/ 1867849 h 3391849"/>
                <a:gd name="connsiteX2" fmla="*/ 0 w 2040212"/>
                <a:gd name="connsiteY2" fmla="*/ 0 h 3391849"/>
                <a:gd name="connsiteX0" fmla="*/ 2040212 w 2040212"/>
                <a:gd name="connsiteY0" fmla="*/ 3391849 h 3391849"/>
                <a:gd name="connsiteX1" fmla="*/ 762742 w 2040212"/>
                <a:gd name="connsiteY1" fmla="*/ 1867849 h 3391849"/>
                <a:gd name="connsiteX2" fmla="*/ 0 w 2040212"/>
                <a:gd name="connsiteY2" fmla="*/ 0 h 3391849"/>
                <a:gd name="connsiteX0" fmla="*/ 2040212 w 2040212"/>
                <a:gd name="connsiteY0" fmla="*/ 3391849 h 3391849"/>
                <a:gd name="connsiteX1" fmla="*/ 0 w 2040212"/>
                <a:gd name="connsiteY1" fmla="*/ 0 h 3391849"/>
                <a:gd name="connsiteX0" fmla="*/ 2547793 w 2547793"/>
                <a:gd name="connsiteY0" fmla="*/ 3407195 h 3407195"/>
                <a:gd name="connsiteX1" fmla="*/ 0 w 2547793"/>
                <a:gd name="connsiteY1" fmla="*/ 0 h 340719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547793" h="3407195">
                  <a:moveTo>
                    <a:pt x="2547793" y="3407195"/>
                  </a:moveTo>
                  <a:lnTo>
                    <a:pt x="0" y="0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18445" name="Group 14345">
            <a:extLst>
              <a:ext uri="{FF2B5EF4-FFF2-40B4-BE49-F238E27FC236}">
                <a16:creationId xmlns:a16="http://schemas.microsoft.com/office/drawing/2014/main" id="{1435016E-2987-1E74-FE1A-0597F26AFA92}"/>
              </a:ext>
            </a:extLst>
          </xdr:cNvPr>
          <xdr:cNvGrpSpPr/>
        </xdr:nvGrpSpPr>
        <xdr:grpSpPr>
          <a:xfrm rot="10800000">
            <a:off x="1885156" y="9474197"/>
            <a:ext cx="2377261" cy="4802572"/>
            <a:chOff x="15408217" y="2373431"/>
            <a:chExt cx="2143134" cy="4256613"/>
          </a:xfrm>
        </xdr:grpSpPr>
        <xdr:sp macro="" textlink="">
          <xdr:nvSpPr>
            <xdr:cNvPr id="18449" name="Freeform 202">
              <a:extLst>
                <a:ext uri="{FF2B5EF4-FFF2-40B4-BE49-F238E27FC236}">
                  <a16:creationId xmlns:a16="http://schemas.microsoft.com/office/drawing/2014/main" id="{18CEA0C5-0CDA-2E9F-B7AC-5C550885A32D}"/>
                </a:ext>
              </a:extLst>
            </xdr:cNvPr>
            <xdr:cNvSpPr/>
          </xdr:nvSpPr>
          <xdr:spPr>
            <a:xfrm rot="2428397">
              <a:off x="15434938" y="5641282"/>
              <a:ext cx="2084709" cy="988762"/>
            </a:xfrm>
            <a:custGeom>
              <a:avLst/>
              <a:gdLst>
                <a:gd name="connsiteX0" fmla="*/ 2667000 w 2667000"/>
                <a:gd name="connsiteY0" fmla="*/ 0 h 1042147"/>
                <a:gd name="connsiteX1" fmla="*/ 1479176 w 2667000"/>
                <a:gd name="connsiteY1" fmla="*/ 291353 h 1042147"/>
                <a:gd name="connsiteX2" fmla="*/ 0 w 2667000"/>
                <a:gd name="connsiteY2" fmla="*/ 1042147 h 1042147"/>
                <a:gd name="connsiteX0" fmla="*/ 2667000 w 2667000"/>
                <a:gd name="connsiteY0" fmla="*/ 0 h 1042147"/>
                <a:gd name="connsiteX1" fmla="*/ 0 w 2667000"/>
                <a:gd name="connsiteY1" fmla="*/ 1042147 h 1042147"/>
                <a:gd name="connsiteX0" fmla="*/ 2489032 w 2489032"/>
                <a:gd name="connsiteY0" fmla="*/ 0 h 1196857"/>
                <a:gd name="connsiteX1" fmla="*/ 0 w 2489032"/>
                <a:gd name="connsiteY1" fmla="*/ 1196857 h 1196857"/>
                <a:gd name="connsiteX0" fmla="*/ 2544835 w 2544835"/>
                <a:gd name="connsiteY0" fmla="*/ 0 h 1129669"/>
                <a:gd name="connsiteX1" fmla="*/ 0 w 2544835"/>
                <a:gd name="connsiteY1" fmla="*/ 1129669 h 112966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544835" h="1129669">
                  <a:moveTo>
                    <a:pt x="2544835" y="0"/>
                  </a:moveTo>
                  <a:lnTo>
                    <a:pt x="0" y="1129669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450" name="Freeform 14344">
              <a:extLst>
                <a:ext uri="{FF2B5EF4-FFF2-40B4-BE49-F238E27FC236}">
                  <a16:creationId xmlns:a16="http://schemas.microsoft.com/office/drawing/2014/main" id="{54ACBA84-75AA-D0BC-1B5F-801706546BFD}"/>
                </a:ext>
              </a:extLst>
            </xdr:cNvPr>
            <xdr:cNvSpPr/>
          </xdr:nvSpPr>
          <xdr:spPr>
            <a:xfrm>
              <a:off x="15408217" y="2373431"/>
              <a:ext cx="2143134" cy="3408907"/>
            </a:xfrm>
            <a:custGeom>
              <a:avLst/>
              <a:gdLst>
                <a:gd name="connsiteX0" fmla="*/ 0 w 2005853"/>
                <a:gd name="connsiteY0" fmla="*/ 3361765 h 3361765"/>
                <a:gd name="connsiteX1" fmla="*/ 1355912 w 2005853"/>
                <a:gd name="connsiteY1" fmla="*/ 1781736 h 3361765"/>
                <a:gd name="connsiteX2" fmla="*/ 2005853 w 2005853"/>
                <a:gd name="connsiteY2" fmla="*/ 0 h 3361765"/>
                <a:gd name="connsiteX0" fmla="*/ 0 w 2029294"/>
                <a:gd name="connsiteY0" fmla="*/ 3377225 h 3377225"/>
                <a:gd name="connsiteX1" fmla="*/ 1379353 w 2029294"/>
                <a:gd name="connsiteY1" fmla="*/ 1781736 h 3377225"/>
                <a:gd name="connsiteX2" fmla="*/ 2029294 w 2029294"/>
                <a:gd name="connsiteY2" fmla="*/ 0 h 3377225"/>
                <a:gd name="connsiteX0" fmla="*/ 0 w 2456801"/>
                <a:gd name="connsiteY0" fmla="*/ 3294961 h 3294961"/>
                <a:gd name="connsiteX1" fmla="*/ 1379353 w 2456801"/>
                <a:gd name="connsiteY1" fmla="*/ 1699472 h 3294961"/>
                <a:gd name="connsiteX2" fmla="*/ 2456801 w 2456801"/>
                <a:gd name="connsiteY2" fmla="*/ 0 h 3294961"/>
                <a:gd name="connsiteX0" fmla="*/ 0 w 2456801"/>
                <a:gd name="connsiteY0" fmla="*/ 3294961 h 3294961"/>
                <a:gd name="connsiteX1" fmla="*/ 1379353 w 2456801"/>
                <a:gd name="connsiteY1" fmla="*/ 1699472 h 3294961"/>
                <a:gd name="connsiteX2" fmla="*/ 2456801 w 2456801"/>
                <a:gd name="connsiteY2" fmla="*/ 0 h 3294961"/>
                <a:gd name="connsiteX0" fmla="*/ 0 w 2292375"/>
                <a:gd name="connsiteY0" fmla="*/ 3362268 h 3362268"/>
                <a:gd name="connsiteX1" fmla="*/ 1379353 w 2292375"/>
                <a:gd name="connsiteY1" fmla="*/ 1766779 h 3362268"/>
                <a:gd name="connsiteX2" fmla="*/ 2292375 w 2292375"/>
                <a:gd name="connsiteY2" fmla="*/ 0 h 3362268"/>
                <a:gd name="connsiteX0" fmla="*/ 0 w 2292375"/>
                <a:gd name="connsiteY0" fmla="*/ 3362268 h 3362268"/>
                <a:gd name="connsiteX1" fmla="*/ 2292375 w 2292375"/>
                <a:gd name="connsiteY1" fmla="*/ 0 h 3362268"/>
                <a:gd name="connsiteX0" fmla="*/ 0 w 2993926"/>
                <a:gd name="connsiteY0" fmla="*/ 3332354 h 3332354"/>
                <a:gd name="connsiteX1" fmla="*/ 2993926 w 2993926"/>
                <a:gd name="connsiteY1" fmla="*/ 0 h 333235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2993926" h="3332354">
                  <a:moveTo>
                    <a:pt x="0" y="3332354"/>
                  </a:moveTo>
                  <a:lnTo>
                    <a:pt x="2993926" y="0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  <xdr:grpSp>
        <xdr:nvGrpSpPr>
          <xdr:cNvPr id="18446" name="Group 14347">
            <a:extLst>
              <a:ext uri="{FF2B5EF4-FFF2-40B4-BE49-F238E27FC236}">
                <a16:creationId xmlns:a16="http://schemas.microsoft.com/office/drawing/2014/main" id="{9A6D7669-6171-9BF2-99A8-5B6160E0A71E}"/>
              </a:ext>
            </a:extLst>
          </xdr:cNvPr>
          <xdr:cNvGrpSpPr/>
        </xdr:nvGrpSpPr>
        <xdr:grpSpPr>
          <a:xfrm rot="10800000">
            <a:off x="8327429" y="11252893"/>
            <a:ext cx="2713830" cy="3072542"/>
            <a:chOff x="9256576" y="2283780"/>
            <a:chExt cx="2530701" cy="2726368"/>
          </a:xfrm>
        </xdr:grpSpPr>
        <xdr:sp macro="" textlink="">
          <xdr:nvSpPr>
            <xdr:cNvPr id="18447" name="Freeform 20">
              <a:extLst>
                <a:ext uri="{FF2B5EF4-FFF2-40B4-BE49-F238E27FC236}">
                  <a16:creationId xmlns:a16="http://schemas.microsoft.com/office/drawing/2014/main" id="{FB5F5F76-0E82-5E27-D424-4ADBE128D74B}"/>
                </a:ext>
              </a:extLst>
            </xdr:cNvPr>
            <xdr:cNvSpPr/>
          </xdr:nvSpPr>
          <xdr:spPr>
            <a:xfrm>
              <a:off x="9256576" y="2283780"/>
              <a:ext cx="1249498" cy="2716847"/>
            </a:xfrm>
            <a:custGeom>
              <a:avLst/>
              <a:gdLst>
                <a:gd name="connsiteX0" fmla="*/ 0 w 930088"/>
                <a:gd name="connsiteY0" fmla="*/ 0 h 2991971"/>
                <a:gd name="connsiteX1" fmla="*/ 571500 w 930088"/>
                <a:gd name="connsiteY1" fmla="*/ 1232647 h 2991971"/>
                <a:gd name="connsiteX2" fmla="*/ 930088 w 930088"/>
                <a:gd name="connsiteY2" fmla="*/ 2991971 h 2991971"/>
                <a:gd name="connsiteX0" fmla="*/ 0 w 824392"/>
                <a:gd name="connsiteY0" fmla="*/ 0 h 2973552"/>
                <a:gd name="connsiteX1" fmla="*/ 465804 w 824392"/>
                <a:gd name="connsiteY1" fmla="*/ 1214228 h 2973552"/>
                <a:gd name="connsiteX2" fmla="*/ 824392 w 824392"/>
                <a:gd name="connsiteY2" fmla="*/ 2973552 h 2973552"/>
                <a:gd name="connsiteX0" fmla="*/ 0 w 824392"/>
                <a:gd name="connsiteY0" fmla="*/ 0 h 2973552"/>
                <a:gd name="connsiteX1" fmla="*/ 465804 w 824392"/>
                <a:gd name="connsiteY1" fmla="*/ 1214228 h 2973552"/>
                <a:gd name="connsiteX2" fmla="*/ 824392 w 824392"/>
                <a:gd name="connsiteY2" fmla="*/ 2973552 h 2973552"/>
                <a:gd name="connsiteX0" fmla="*/ 0 w 824392"/>
                <a:gd name="connsiteY0" fmla="*/ 0 h 2973552"/>
                <a:gd name="connsiteX1" fmla="*/ 824392 w 824392"/>
                <a:gd name="connsiteY1" fmla="*/ 2973552 h 297355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824392" h="2973552">
                  <a:moveTo>
                    <a:pt x="0" y="0"/>
                  </a:moveTo>
                  <a:lnTo>
                    <a:pt x="824392" y="2973552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448" name="Freeform 14346">
              <a:extLst>
                <a:ext uri="{FF2B5EF4-FFF2-40B4-BE49-F238E27FC236}">
                  <a16:creationId xmlns:a16="http://schemas.microsoft.com/office/drawing/2014/main" id="{2FDBA611-B11A-9D4F-BD9A-7372DE9D9BA7}"/>
                </a:ext>
              </a:extLst>
            </xdr:cNvPr>
            <xdr:cNvSpPr/>
          </xdr:nvSpPr>
          <xdr:spPr>
            <a:xfrm>
              <a:off x="10506075" y="2292193"/>
              <a:ext cx="1281202" cy="2717955"/>
            </a:xfrm>
            <a:custGeom>
              <a:avLst/>
              <a:gdLst>
                <a:gd name="connsiteX0" fmla="*/ 0 w 1562100"/>
                <a:gd name="connsiteY0" fmla="*/ 2914650 h 2914650"/>
                <a:gd name="connsiteX1" fmla="*/ 638175 w 1562100"/>
                <a:gd name="connsiteY1" fmla="*/ 1047750 h 2914650"/>
                <a:gd name="connsiteX2" fmla="*/ 1562100 w 1562100"/>
                <a:gd name="connsiteY2" fmla="*/ 0 h 2914650"/>
                <a:gd name="connsiteX0" fmla="*/ 0 w 1346905"/>
                <a:gd name="connsiteY0" fmla="*/ 2887828 h 2887828"/>
                <a:gd name="connsiteX1" fmla="*/ 638175 w 1346905"/>
                <a:gd name="connsiteY1" fmla="*/ 1020928 h 2887828"/>
                <a:gd name="connsiteX2" fmla="*/ 1346905 w 1346905"/>
                <a:gd name="connsiteY2" fmla="*/ 0 h 2887828"/>
                <a:gd name="connsiteX0" fmla="*/ 0 w 1346905"/>
                <a:gd name="connsiteY0" fmla="*/ 2887828 h 2887828"/>
                <a:gd name="connsiteX1" fmla="*/ 638175 w 1346905"/>
                <a:gd name="connsiteY1" fmla="*/ 1020928 h 2887828"/>
                <a:gd name="connsiteX2" fmla="*/ 1346905 w 1346905"/>
                <a:gd name="connsiteY2" fmla="*/ 0 h 2887828"/>
                <a:gd name="connsiteX0" fmla="*/ 0 w 1346905"/>
                <a:gd name="connsiteY0" fmla="*/ 2887828 h 2887828"/>
                <a:gd name="connsiteX1" fmla="*/ 1346905 w 1346905"/>
                <a:gd name="connsiteY1" fmla="*/ 0 h 288782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</a:cxnLst>
              <a:rect l="l" t="t" r="r" b="b"/>
              <a:pathLst>
                <a:path w="1346905" h="2887828">
                  <a:moveTo>
                    <a:pt x="0" y="2887828"/>
                  </a:moveTo>
                  <a:lnTo>
                    <a:pt x="1346905" y="0"/>
                  </a:lnTo>
                </a:path>
              </a:pathLst>
            </a:cu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DD175"/>
  <sheetViews>
    <sheetView topLeftCell="N47" zoomScale="70" zoomScaleNormal="70" workbookViewId="0">
      <pane ySplit="9" topLeftCell="A76" activePane="bottomLeft" state="frozen"/>
      <selection activeCell="A47" sqref="A47"/>
      <selection pane="bottomLeft" activeCell="AN89" activeCellId="3" sqref="AB89 AF89 AJ89 AN89"/>
    </sheetView>
  </sheetViews>
  <sheetFormatPr defaultColWidth="5.625" defaultRowHeight="24.95" customHeight="1"/>
  <cols>
    <col min="1" max="4" width="5.625" style="1" customWidth="1"/>
    <col min="5" max="64" width="7.625" style="1" customWidth="1"/>
    <col min="65" max="68" width="5.625" style="1" customWidth="1"/>
    <col min="69" max="70" width="14.125" style="1" hidden="1" customWidth="1"/>
    <col min="71" max="71" width="5.625" style="1" hidden="1" customWidth="1"/>
    <col min="72" max="72" width="8.5" style="1" hidden="1" customWidth="1"/>
    <col min="73" max="73" width="7.125" style="1" hidden="1" customWidth="1"/>
    <col min="74" max="108" width="7.625" style="1" hidden="1" customWidth="1"/>
    <col min="109" max="16384" width="5.625" style="1"/>
  </cols>
  <sheetData>
    <row r="1" spans="2:63" ht="24.95" customHeight="1"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2:63" ht="30" customHeight="1">
      <c r="U2" s="343" t="s">
        <v>104</v>
      </c>
      <c r="V2" s="343"/>
      <c r="W2" s="343"/>
      <c r="X2" s="343"/>
      <c r="Y2" s="343"/>
      <c r="AD2" s="2"/>
    </row>
    <row r="3" spans="2:63" ht="24.95" customHeight="1">
      <c r="B3" s="3" t="s">
        <v>0</v>
      </c>
      <c r="C3" s="4"/>
      <c r="D3" s="4"/>
      <c r="E3" s="91" t="s">
        <v>100</v>
      </c>
      <c r="F3" s="91"/>
      <c r="G3" s="5"/>
      <c r="H3" s="5"/>
      <c r="I3" s="5"/>
      <c r="J3" s="5"/>
      <c r="K3" s="330"/>
      <c r="S3" s="341" t="s">
        <v>106</v>
      </c>
      <c r="T3" s="7"/>
      <c r="U3" s="8"/>
      <c r="V3" s="282"/>
      <c r="W3" s="10"/>
      <c r="X3" s="281"/>
      <c r="Y3" s="8"/>
      <c r="Z3" s="12"/>
      <c r="AA3" s="342" t="s">
        <v>107</v>
      </c>
      <c r="AB3" s="8"/>
      <c r="AC3" s="2"/>
      <c r="AD3" s="2"/>
      <c r="AE3" s="2"/>
      <c r="BG3" s="6"/>
      <c r="BH3" s="6"/>
      <c r="BI3" s="6"/>
      <c r="BJ3" s="6"/>
      <c r="BK3" s="6"/>
    </row>
    <row r="4" spans="2:63" ht="24.95" customHeight="1">
      <c r="B4" s="3" t="s">
        <v>1</v>
      </c>
      <c r="C4" s="4"/>
      <c r="D4" s="4"/>
      <c r="E4" s="91" t="s">
        <v>102</v>
      </c>
      <c r="F4" s="91"/>
      <c r="G4" s="5"/>
      <c r="H4" s="5"/>
      <c r="I4" s="5"/>
      <c r="J4" s="5"/>
      <c r="K4" s="330"/>
      <c r="S4" s="341"/>
      <c r="T4" s="13"/>
      <c r="U4" s="280"/>
      <c r="V4" s="9"/>
      <c r="W4" s="2"/>
      <c r="X4" s="11"/>
      <c r="Y4" s="280"/>
      <c r="Z4" s="14"/>
      <c r="AA4" s="342"/>
      <c r="AB4" s="2"/>
      <c r="AC4" s="2"/>
      <c r="AD4" s="2"/>
      <c r="AE4" s="2"/>
    </row>
    <row r="5" spans="2:63" ht="24.95" customHeight="1">
      <c r="B5" s="3" t="s">
        <v>2</v>
      </c>
      <c r="C5" s="4"/>
      <c r="D5" s="4"/>
      <c r="E5" s="91" t="s">
        <v>101</v>
      </c>
      <c r="F5" s="91"/>
      <c r="G5" s="5"/>
      <c r="H5" s="5"/>
      <c r="I5" s="5"/>
      <c r="J5" s="5"/>
      <c r="K5" s="330"/>
      <c r="S5" s="341"/>
      <c r="T5" s="15"/>
      <c r="U5" s="16"/>
      <c r="V5" s="9"/>
      <c r="W5" s="2"/>
      <c r="X5" s="11"/>
      <c r="Y5" s="8"/>
      <c r="Z5" s="10"/>
      <c r="AA5" s="342"/>
      <c r="AB5" s="2"/>
      <c r="AC5" s="2"/>
      <c r="AD5" s="2"/>
      <c r="AE5" s="2"/>
    </row>
    <row r="6" spans="2:63" ht="24.95" customHeight="1">
      <c r="B6" s="3" t="s">
        <v>3</v>
      </c>
      <c r="C6" s="4"/>
      <c r="D6" s="4"/>
      <c r="E6" s="91" t="s">
        <v>103</v>
      </c>
      <c r="F6" s="91"/>
      <c r="G6" s="5"/>
      <c r="H6" s="5"/>
      <c r="I6" s="5"/>
      <c r="J6" s="5"/>
      <c r="K6" s="330"/>
      <c r="S6" s="341"/>
      <c r="T6" s="17"/>
      <c r="U6" s="16"/>
      <c r="V6" s="8"/>
      <c r="W6" s="8"/>
      <c r="X6" s="8"/>
      <c r="Y6" s="8"/>
      <c r="Z6" s="10"/>
      <c r="AA6" s="342"/>
      <c r="AC6" s="2"/>
      <c r="AE6" s="2"/>
    </row>
    <row r="7" spans="2:63" ht="24.95" customHeight="1">
      <c r="B7" s="4"/>
      <c r="C7" s="4"/>
      <c r="D7" s="4"/>
      <c r="E7" s="91"/>
      <c r="F7" s="91"/>
      <c r="G7" s="5"/>
      <c r="H7" s="5"/>
      <c r="I7" s="5"/>
      <c r="J7" s="5"/>
      <c r="K7" s="330"/>
      <c r="S7" s="341"/>
      <c r="U7" s="16"/>
      <c r="V7" s="8"/>
      <c r="W7" s="8"/>
      <c r="X7" s="8"/>
      <c r="Y7" s="8"/>
      <c r="Z7" s="14"/>
      <c r="AA7" s="342"/>
      <c r="AC7" s="2"/>
      <c r="AE7" s="2"/>
    </row>
    <row r="8" spans="2:63" ht="24.95" customHeight="1">
      <c r="B8" s="3" t="s">
        <v>12</v>
      </c>
      <c r="C8" s="4"/>
      <c r="D8" s="4"/>
      <c r="E8" s="91" t="s">
        <v>108</v>
      </c>
      <c r="F8" s="91"/>
      <c r="G8" s="5"/>
      <c r="H8" s="5"/>
      <c r="I8" s="5"/>
      <c r="J8" s="5"/>
      <c r="K8" s="330"/>
      <c r="S8" s="341"/>
      <c r="T8" s="277"/>
      <c r="U8" s="16"/>
      <c r="V8" s="8"/>
      <c r="W8" s="8"/>
      <c r="X8" s="8"/>
      <c r="Y8" s="8"/>
      <c r="Z8" s="278"/>
      <c r="AA8" s="342"/>
      <c r="AC8" s="2"/>
      <c r="AE8" s="2"/>
    </row>
    <row r="9" spans="2:63" ht="24.95" customHeight="1">
      <c r="B9" s="3" t="s">
        <v>13</v>
      </c>
      <c r="C9" s="4"/>
      <c r="D9" s="4"/>
      <c r="E9" s="91" t="s">
        <v>20</v>
      </c>
      <c r="F9" s="91"/>
      <c r="G9" s="5"/>
      <c r="H9" s="5"/>
      <c r="I9" s="5"/>
      <c r="J9" s="5"/>
      <c r="K9" s="330"/>
      <c r="T9" s="276"/>
      <c r="U9" s="16"/>
      <c r="V9" s="8"/>
      <c r="W9" s="8"/>
      <c r="X9" s="8"/>
      <c r="Y9" s="8"/>
      <c r="Z9" s="279"/>
      <c r="AC9" s="2"/>
      <c r="AE9" s="2"/>
    </row>
    <row r="10" spans="2:63" ht="24.95" customHeight="1">
      <c r="B10" s="3" t="s">
        <v>4</v>
      </c>
      <c r="C10" s="4"/>
      <c r="D10" s="4"/>
      <c r="E10" s="91" t="s">
        <v>19</v>
      </c>
      <c r="F10" s="91"/>
      <c r="G10" s="5"/>
      <c r="H10" s="5"/>
      <c r="I10" s="5"/>
      <c r="J10" s="5"/>
      <c r="K10" s="330"/>
      <c r="U10" s="18"/>
      <c r="V10" s="8"/>
      <c r="W10" s="8"/>
      <c r="X10" s="8"/>
      <c r="Y10" s="18"/>
      <c r="Z10" s="19"/>
      <c r="AC10" s="2"/>
      <c r="AE10" s="2"/>
    </row>
    <row r="11" spans="2:63" ht="30" customHeight="1">
      <c r="E11" s="20" t="s">
        <v>17</v>
      </c>
      <c r="F11" s="20"/>
      <c r="G11" s="21"/>
      <c r="H11" s="21"/>
      <c r="U11" s="22"/>
      <c r="W11" s="277"/>
      <c r="X11" s="23"/>
      <c r="Z11" s="2"/>
      <c r="AC11" s="2"/>
      <c r="AE11" s="2"/>
    </row>
    <row r="12" spans="2:63" ht="30" customHeight="1">
      <c r="E12" s="355" t="s">
        <v>44</v>
      </c>
      <c r="F12" s="355"/>
      <c r="G12" s="355" t="s">
        <v>45</v>
      </c>
      <c r="H12" s="355"/>
      <c r="I12" s="355" t="s">
        <v>91</v>
      </c>
      <c r="J12" s="355"/>
      <c r="S12" s="344" t="s">
        <v>104</v>
      </c>
      <c r="T12" s="344"/>
      <c r="U12" s="344"/>
      <c r="V12" s="344"/>
      <c r="X12" s="356" t="s">
        <v>105</v>
      </c>
      <c r="Y12" s="356"/>
      <c r="Z12" s="356"/>
      <c r="AA12" s="356"/>
      <c r="AB12" s="8"/>
      <c r="AC12" s="2"/>
      <c r="AD12" s="2"/>
      <c r="AE12" s="2"/>
      <c r="BG12" s="6"/>
      <c r="BH12" s="6"/>
      <c r="BI12" s="6"/>
      <c r="BJ12" s="6"/>
      <c r="BK12" s="6"/>
    </row>
    <row r="13" spans="2:63" ht="30" customHeight="1">
      <c r="B13" s="364" t="s">
        <v>46</v>
      </c>
      <c r="C13" s="364"/>
      <c r="D13" s="365"/>
      <c r="E13" s="366" t="s">
        <v>109</v>
      </c>
      <c r="F13" s="367"/>
      <c r="G13" s="366" t="s">
        <v>110</v>
      </c>
      <c r="H13" s="368"/>
      <c r="I13" s="357" t="s">
        <v>92</v>
      </c>
      <c r="J13" s="357"/>
      <c r="O13" s="24"/>
      <c r="P13" s="24"/>
      <c r="Q13" s="24"/>
      <c r="R13" s="24"/>
      <c r="AG13" s="25"/>
      <c r="AH13" s="25"/>
    </row>
    <row r="14" spans="2:63" ht="24.95" customHeight="1" thickBot="1"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</row>
    <row r="15" spans="2:63" ht="34.5" customHeight="1" thickBot="1">
      <c r="B15" s="361" t="s">
        <v>5</v>
      </c>
      <c r="C15" s="362"/>
      <c r="D15" s="363"/>
      <c r="E15" s="348" t="str">
        <f>S12</f>
        <v>Great N Rd</v>
      </c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50"/>
      <c r="Y15" s="345" t="str">
        <f>X12</f>
        <v>St Georges Rd</v>
      </c>
      <c r="Z15" s="346"/>
      <c r="AA15" s="346"/>
      <c r="AB15" s="346"/>
      <c r="AC15" s="346"/>
      <c r="AD15" s="346"/>
      <c r="AE15" s="346"/>
      <c r="AF15" s="346"/>
      <c r="AG15" s="346"/>
      <c r="AH15" s="346"/>
      <c r="AI15" s="346"/>
      <c r="AJ15" s="346"/>
      <c r="AK15" s="346"/>
      <c r="AL15" s="346"/>
      <c r="AM15" s="346"/>
      <c r="AN15" s="346"/>
      <c r="AO15" s="346"/>
      <c r="AP15" s="346"/>
      <c r="AQ15" s="346"/>
      <c r="AR15" s="347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</row>
    <row r="16" spans="2:63" ht="39" customHeight="1" thickBot="1">
      <c r="B16" s="361" t="s">
        <v>6</v>
      </c>
      <c r="C16" s="362"/>
      <c r="D16" s="363"/>
      <c r="E16" s="335" t="s">
        <v>47</v>
      </c>
      <c r="F16" s="336"/>
      <c r="G16" s="336"/>
      <c r="H16" s="337"/>
      <c r="I16" s="335" t="s">
        <v>48</v>
      </c>
      <c r="J16" s="336"/>
      <c r="K16" s="336"/>
      <c r="L16" s="337"/>
      <c r="M16" s="335" t="s">
        <v>49</v>
      </c>
      <c r="N16" s="336"/>
      <c r="O16" s="336"/>
      <c r="P16" s="337"/>
      <c r="Q16" s="335" t="s">
        <v>50</v>
      </c>
      <c r="R16" s="336"/>
      <c r="S16" s="336"/>
      <c r="T16" s="337"/>
      <c r="U16" s="335" t="s">
        <v>79</v>
      </c>
      <c r="V16" s="336"/>
      <c r="W16" s="336"/>
      <c r="X16" s="337"/>
      <c r="Y16" s="335" t="s">
        <v>51</v>
      </c>
      <c r="Z16" s="336"/>
      <c r="AA16" s="336"/>
      <c r="AB16" s="337"/>
      <c r="AC16" s="335" t="s">
        <v>52</v>
      </c>
      <c r="AD16" s="336"/>
      <c r="AE16" s="336"/>
      <c r="AF16" s="337"/>
      <c r="AG16" s="335" t="s">
        <v>53</v>
      </c>
      <c r="AH16" s="336"/>
      <c r="AI16" s="336"/>
      <c r="AJ16" s="337"/>
      <c r="AK16" s="335" t="s">
        <v>54</v>
      </c>
      <c r="AL16" s="336"/>
      <c r="AM16" s="336"/>
      <c r="AN16" s="337"/>
      <c r="AO16" s="335" t="s">
        <v>80</v>
      </c>
      <c r="AP16" s="336"/>
      <c r="AQ16" s="336"/>
      <c r="AR16" s="337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</row>
    <row r="17" spans="2:56" s="29" customFormat="1" ht="49.5" thickBot="1">
      <c r="B17" s="372" t="s">
        <v>7</v>
      </c>
      <c r="C17" s="373"/>
      <c r="D17" s="374"/>
      <c r="E17" s="26" t="str">
        <f>$E$13</f>
        <v>Lights</v>
      </c>
      <c r="F17" s="260" t="str">
        <f>$G$13</f>
        <v>Heavies</v>
      </c>
      <c r="G17" s="27" t="str">
        <f>$I$13</f>
        <v>Buses</v>
      </c>
      <c r="H17" s="28" t="s">
        <v>8</v>
      </c>
      <c r="I17" s="26" t="str">
        <f>$E$13</f>
        <v>Lights</v>
      </c>
      <c r="J17" s="260" t="str">
        <f>$G$13</f>
        <v>Heavies</v>
      </c>
      <c r="K17" s="27" t="str">
        <f>$I$13</f>
        <v>Buses</v>
      </c>
      <c r="L17" s="28" t="s">
        <v>8</v>
      </c>
      <c r="M17" s="26" t="str">
        <f>$E$13</f>
        <v>Lights</v>
      </c>
      <c r="N17" s="260" t="str">
        <f>$G$13</f>
        <v>Heavies</v>
      </c>
      <c r="O17" s="27" t="str">
        <f>$I$13</f>
        <v>Buses</v>
      </c>
      <c r="P17" s="28" t="s">
        <v>8</v>
      </c>
      <c r="Q17" s="26" t="str">
        <f>$E$13</f>
        <v>Lights</v>
      </c>
      <c r="R17" s="260" t="str">
        <f>$G$13</f>
        <v>Heavies</v>
      </c>
      <c r="S17" s="27" t="str">
        <f>$I$13</f>
        <v>Buses</v>
      </c>
      <c r="T17" s="28" t="s">
        <v>8</v>
      </c>
      <c r="U17" s="26" t="str">
        <f>$E$13</f>
        <v>Lights</v>
      </c>
      <c r="V17" s="260" t="str">
        <f>$G$13</f>
        <v>Heavies</v>
      </c>
      <c r="W17" s="27" t="str">
        <f>$I$13</f>
        <v>Buses</v>
      </c>
      <c r="X17" s="28" t="s">
        <v>8</v>
      </c>
      <c r="Y17" s="26" t="str">
        <f>$E$13</f>
        <v>Lights</v>
      </c>
      <c r="Z17" s="260" t="str">
        <f>$G$13</f>
        <v>Heavies</v>
      </c>
      <c r="AA17" s="27" t="str">
        <f>$I$13</f>
        <v>Buses</v>
      </c>
      <c r="AB17" s="28" t="s">
        <v>8</v>
      </c>
      <c r="AC17" s="26" t="str">
        <f>$E$13</f>
        <v>Lights</v>
      </c>
      <c r="AD17" s="260" t="str">
        <f>$G$13</f>
        <v>Heavies</v>
      </c>
      <c r="AE17" s="27" t="str">
        <f>$I$13</f>
        <v>Buses</v>
      </c>
      <c r="AF17" s="28" t="s">
        <v>8</v>
      </c>
      <c r="AG17" s="26" t="str">
        <f>$E$13</f>
        <v>Lights</v>
      </c>
      <c r="AH17" s="260" t="str">
        <f>$G$13</f>
        <v>Heavies</v>
      </c>
      <c r="AI17" s="27" t="str">
        <f>$I$13</f>
        <v>Buses</v>
      </c>
      <c r="AJ17" s="28" t="s">
        <v>8</v>
      </c>
      <c r="AK17" s="26" t="str">
        <f>$E$13</f>
        <v>Lights</v>
      </c>
      <c r="AL17" s="260" t="str">
        <f>$G$13</f>
        <v>Heavies</v>
      </c>
      <c r="AM17" s="27" t="str">
        <f>$I$13</f>
        <v>Buses</v>
      </c>
      <c r="AN17" s="28" t="s">
        <v>8</v>
      </c>
      <c r="AO17" s="26" t="str">
        <f>$E$13</f>
        <v>Lights</v>
      </c>
      <c r="AP17" s="260" t="str">
        <f>$G$13</f>
        <v>Heavies</v>
      </c>
      <c r="AQ17" s="27" t="str">
        <f>$I$13</f>
        <v>Buses</v>
      </c>
      <c r="AR17" s="28" t="s">
        <v>8</v>
      </c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</row>
    <row r="18" spans="2:56" ht="24.95" customHeight="1">
      <c r="B18" s="89">
        <v>0.25</v>
      </c>
      <c r="C18" s="31" t="s">
        <v>9</v>
      </c>
      <c r="D18" s="32">
        <f>SUM(0.0416667/4)+B18</f>
        <v>0.26041667499999999</v>
      </c>
      <c r="E18" s="92">
        <v>0</v>
      </c>
      <c r="F18" s="261">
        <v>0</v>
      </c>
      <c r="G18" s="93">
        <v>0</v>
      </c>
      <c r="H18" s="35">
        <f t="shared" ref="H18:H51" si="0">SUM(E18:G18)</f>
        <v>0</v>
      </c>
      <c r="I18" s="92">
        <v>26</v>
      </c>
      <c r="J18" s="261">
        <v>2</v>
      </c>
      <c r="K18" s="93">
        <v>3</v>
      </c>
      <c r="L18" s="35">
        <f t="shared" ref="L18:L51" si="1">SUM(I18:K18)</f>
        <v>31</v>
      </c>
      <c r="M18" s="92">
        <v>53</v>
      </c>
      <c r="N18" s="261">
        <v>0</v>
      </c>
      <c r="O18" s="93">
        <v>0</v>
      </c>
      <c r="P18" s="35">
        <f t="shared" ref="P18:P51" si="2">SUM(M18:O18)</f>
        <v>53</v>
      </c>
      <c r="Q18" s="92">
        <v>10</v>
      </c>
      <c r="R18" s="261">
        <v>0</v>
      </c>
      <c r="S18" s="93">
        <v>0</v>
      </c>
      <c r="T18" s="35">
        <f t="shared" ref="T18:T51" si="3">SUM(Q18:S18)</f>
        <v>10</v>
      </c>
      <c r="U18" s="92">
        <v>0</v>
      </c>
      <c r="V18" s="261">
        <v>0</v>
      </c>
      <c r="W18" s="93">
        <v>0</v>
      </c>
      <c r="X18" s="35">
        <f t="shared" ref="X18:X51" si="4">SUM(U18:W18)</f>
        <v>0</v>
      </c>
      <c r="Y18" s="92">
        <v>4</v>
      </c>
      <c r="Z18" s="261">
        <v>0</v>
      </c>
      <c r="AA18" s="93">
        <v>0</v>
      </c>
      <c r="AB18" s="35">
        <f t="shared" ref="AB18:AB51" si="5">SUM(Y18:AA18)</f>
        <v>4</v>
      </c>
      <c r="AC18" s="92">
        <v>0</v>
      </c>
      <c r="AD18" s="261">
        <v>0</v>
      </c>
      <c r="AE18" s="93">
        <v>0</v>
      </c>
      <c r="AF18" s="35">
        <f t="shared" ref="AF18:AF51" si="6">SUM(AC18:AE18)</f>
        <v>0</v>
      </c>
      <c r="AG18" s="92">
        <v>21</v>
      </c>
      <c r="AH18" s="261">
        <v>0</v>
      </c>
      <c r="AI18" s="93">
        <v>0</v>
      </c>
      <c r="AJ18" s="35">
        <f t="shared" ref="AJ18:AJ51" si="7">SUM(AG18:AI18)</f>
        <v>21</v>
      </c>
      <c r="AK18" s="92">
        <v>3</v>
      </c>
      <c r="AL18" s="261">
        <v>0</v>
      </c>
      <c r="AM18" s="93">
        <v>0</v>
      </c>
      <c r="AN18" s="35">
        <f t="shared" ref="AN18:AN51" si="8">SUM(AK18:AM18)</f>
        <v>3</v>
      </c>
      <c r="AO18" s="92">
        <v>0</v>
      </c>
      <c r="AP18" s="261">
        <v>0</v>
      </c>
      <c r="AQ18" s="93">
        <v>0</v>
      </c>
      <c r="AR18" s="35">
        <f t="shared" ref="AR18:AR51" si="9">SUM(AO18:AQ18)</f>
        <v>0</v>
      </c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</row>
    <row r="19" spans="2:56" ht="24.95" customHeight="1">
      <c r="B19" s="37">
        <f>+D18</f>
        <v>0.26041667499999999</v>
      </c>
      <c r="C19" s="38" t="s">
        <v>9</v>
      </c>
      <c r="D19" s="39">
        <f>SUM(0.0416667/4)+B19</f>
        <v>0.27083334999999997</v>
      </c>
      <c r="E19" s="94">
        <v>0</v>
      </c>
      <c r="F19" s="262">
        <v>0</v>
      </c>
      <c r="G19" s="95">
        <v>0</v>
      </c>
      <c r="H19" s="42">
        <f t="shared" si="0"/>
        <v>0</v>
      </c>
      <c r="I19" s="94">
        <v>29</v>
      </c>
      <c r="J19" s="262">
        <v>2</v>
      </c>
      <c r="K19" s="95">
        <v>3</v>
      </c>
      <c r="L19" s="42">
        <f t="shared" si="1"/>
        <v>34</v>
      </c>
      <c r="M19" s="94">
        <v>100</v>
      </c>
      <c r="N19" s="262">
        <v>2</v>
      </c>
      <c r="O19" s="95">
        <v>1</v>
      </c>
      <c r="P19" s="42">
        <f t="shared" si="2"/>
        <v>103</v>
      </c>
      <c r="Q19" s="94">
        <v>14</v>
      </c>
      <c r="R19" s="262">
        <v>0</v>
      </c>
      <c r="S19" s="95">
        <v>0</v>
      </c>
      <c r="T19" s="42">
        <f t="shared" si="3"/>
        <v>14</v>
      </c>
      <c r="U19" s="94">
        <v>0</v>
      </c>
      <c r="V19" s="262">
        <v>0</v>
      </c>
      <c r="W19" s="95">
        <v>0</v>
      </c>
      <c r="X19" s="42">
        <f t="shared" si="4"/>
        <v>0</v>
      </c>
      <c r="Y19" s="94">
        <v>3</v>
      </c>
      <c r="Z19" s="262">
        <v>0</v>
      </c>
      <c r="AA19" s="95">
        <v>0</v>
      </c>
      <c r="AB19" s="42">
        <f t="shared" si="5"/>
        <v>3</v>
      </c>
      <c r="AC19" s="94">
        <v>3</v>
      </c>
      <c r="AD19" s="262">
        <v>1</v>
      </c>
      <c r="AE19" s="95">
        <v>0</v>
      </c>
      <c r="AF19" s="42">
        <f t="shared" si="6"/>
        <v>4</v>
      </c>
      <c r="AG19" s="94">
        <v>22</v>
      </c>
      <c r="AH19" s="262">
        <v>0</v>
      </c>
      <c r="AI19" s="95">
        <v>0</v>
      </c>
      <c r="AJ19" s="42">
        <f t="shared" si="7"/>
        <v>22</v>
      </c>
      <c r="AK19" s="94">
        <v>8</v>
      </c>
      <c r="AL19" s="262">
        <v>0</v>
      </c>
      <c r="AM19" s="95">
        <v>0</v>
      </c>
      <c r="AN19" s="42">
        <f t="shared" si="8"/>
        <v>8</v>
      </c>
      <c r="AO19" s="94">
        <v>0</v>
      </c>
      <c r="AP19" s="262">
        <v>0</v>
      </c>
      <c r="AQ19" s="95">
        <v>0</v>
      </c>
      <c r="AR19" s="42">
        <f t="shared" si="9"/>
        <v>0</v>
      </c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</row>
    <row r="20" spans="2:56" ht="24.95" customHeight="1">
      <c r="B20" s="37">
        <f t="shared" ref="B20:B25" si="10">+D19</f>
        <v>0.27083334999999997</v>
      </c>
      <c r="C20" s="38" t="s">
        <v>9</v>
      </c>
      <c r="D20" s="39">
        <f t="shared" ref="D20:D25" si="11">SUM(0.0416667/4)+B20</f>
        <v>0.28125002499999996</v>
      </c>
      <c r="E20" s="94">
        <v>3</v>
      </c>
      <c r="F20" s="262">
        <v>0</v>
      </c>
      <c r="G20" s="95">
        <v>0</v>
      </c>
      <c r="H20" s="42">
        <f t="shared" si="0"/>
        <v>3</v>
      </c>
      <c r="I20" s="94">
        <v>30</v>
      </c>
      <c r="J20" s="262">
        <v>0</v>
      </c>
      <c r="K20" s="95">
        <v>6</v>
      </c>
      <c r="L20" s="42">
        <f t="shared" si="1"/>
        <v>36</v>
      </c>
      <c r="M20" s="94">
        <v>150</v>
      </c>
      <c r="N20" s="262">
        <v>1</v>
      </c>
      <c r="O20" s="95">
        <v>0</v>
      </c>
      <c r="P20" s="42">
        <f t="shared" si="2"/>
        <v>151</v>
      </c>
      <c r="Q20" s="94">
        <v>6</v>
      </c>
      <c r="R20" s="262">
        <v>1</v>
      </c>
      <c r="S20" s="95">
        <v>0</v>
      </c>
      <c r="T20" s="42">
        <f t="shared" si="3"/>
        <v>7</v>
      </c>
      <c r="U20" s="94">
        <v>1</v>
      </c>
      <c r="V20" s="262">
        <v>0</v>
      </c>
      <c r="W20" s="95">
        <v>0</v>
      </c>
      <c r="X20" s="42">
        <f t="shared" si="4"/>
        <v>1</v>
      </c>
      <c r="Y20" s="94">
        <v>3</v>
      </c>
      <c r="Z20" s="262">
        <v>0</v>
      </c>
      <c r="AA20" s="95">
        <v>0</v>
      </c>
      <c r="AB20" s="42">
        <f t="shared" si="5"/>
        <v>3</v>
      </c>
      <c r="AC20" s="94">
        <v>1</v>
      </c>
      <c r="AD20" s="262">
        <v>0</v>
      </c>
      <c r="AE20" s="95">
        <v>0</v>
      </c>
      <c r="AF20" s="42">
        <f t="shared" si="6"/>
        <v>1</v>
      </c>
      <c r="AG20" s="94">
        <v>25</v>
      </c>
      <c r="AH20" s="262">
        <v>0</v>
      </c>
      <c r="AI20" s="95">
        <v>0</v>
      </c>
      <c r="AJ20" s="42">
        <f t="shared" si="7"/>
        <v>25</v>
      </c>
      <c r="AK20" s="94">
        <v>11</v>
      </c>
      <c r="AL20" s="262">
        <v>0</v>
      </c>
      <c r="AM20" s="95">
        <v>0</v>
      </c>
      <c r="AN20" s="42">
        <f t="shared" si="8"/>
        <v>11</v>
      </c>
      <c r="AO20" s="94">
        <v>0</v>
      </c>
      <c r="AP20" s="262">
        <v>0</v>
      </c>
      <c r="AQ20" s="95">
        <v>0</v>
      </c>
      <c r="AR20" s="42">
        <f t="shared" si="9"/>
        <v>0</v>
      </c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 spans="2:56" ht="24.95" customHeight="1">
      <c r="B21" s="37">
        <f t="shared" si="10"/>
        <v>0.28125002499999996</v>
      </c>
      <c r="C21" s="38" t="s">
        <v>9</v>
      </c>
      <c r="D21" s="39">
        <f t="shared" si="11"/>
        <v>0.29166669999999995</v>
      </c>
      <c r="E21" s="94">
        <v>0</v>
      </c>
      <c r="F21" s="262">
        <v>0</v>
      </c>
      <c r="G21" s="95">
        <v>0</v>
      </c>
      <c r="H21" s="42">
        <f t="shared" si="0"/>
        <v>0</v>
      </c>
      <c r="I21" s="94">
        <v>30</v>
      </c>
      <c r="J21" s="262">
        <v>0</v>
      </c>
      <c r="K21" s="95">
        <v>5</v>
      </c>
      <c r="L21" s="42">
        <f t="shared" si="1"/>
        <v>35</v>
      </c>
      <c r="M21" s="94">
        <v>193</v>
      </c>
      <c r="N21" s="262">
        <v>4</v>
      </c>
      <c r="O21" s="95">
        <v>0</v>
      </c>
      <c r="P21" s="42">
        <f t="shared" si="2"/>
        <v>197</v>
      </c>
      <c r="Q21" s="94">
        <v>4</v>
      </c>
      <c r="R21" s="262">
        <v>0</v>
      </c>
      <c r="S21" s="95">
        <v>0</v>
      </c>
      <c r="T21" s="42">
        <f t="shared" si="3"/>
        <v>4</v>
      </c>
      <c r="U21" s="94">
        <v>0</v>
      </c>
      <c r="V21" s="262">
        <v>0</v>
      </c>
      <c r="W21" s="95">
        <v>0</v>
      </c>
      <c r="X21" s="42">
        <f t="shared" si="4"/>
        <v>0</v>
      </c>
      <c r="Y21" s="94">
        <v>2</v>
      </c>
      <c r="Z21" s="262">
        <v>0</v>
      </c>
      <c r="AA21" s="95">
        <v>0</v>
      </c>
      <c r="AB21" s="42">
        <f t="shared" si="5"/>
        <v>2</v>
      </c>
      <c r="AC21" s="94">
        <v>2</v>
      </c>
      <c r="AD21" s="262">
        <v>0</v>
      </c>
      <c r="AE21" s="95">
        <v>0</v>
      </c>
      <c r="AF21" s="42">
        <f t="shared" si="6"/>
        <v>2</v>
      </c>
      <c r="AG21" s="94">
        <v>38</v>
      </c>
      <c r="AH21" s="262">
        <v>1</v>
      </c>
      <c r="AI21" s="95">
        <v>0</v>
      </c>
      <c r="AJ21" s="42">
        <f t="shared" si="7"/>
        <v>39</v>
      </c>
      <c r="AK21" s="94">
        <v>13</v>
      </c>
      <c r="AL21" s="262">
        <v>0</v>
      </c>
      <c r="AM21" s="95">
        <v>0</v>
      </c>
      <c r="AN21" s="42">
        <f t="shared" si="8"/>
        <v>13</v>
      </c>
      <c r="AO21" s="94">
        <v>0</v>
      </c>
      <c r="AP21" s="262">
        <v>0</v>
      </c>
      <c r="AQ21" s="95">
        <v>0</v>
      </c>
      <c r="AR21" s="42">
        <f t="shared" si="9"/>
        <v>0</v>
      </c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 spans="2:56" ht="24.95" customHeight="1">
      <c r="B22" s="37">
        <f t="shared" si="10"/>
        <v>0.29166669999999995</v>
      </c>
      <c r="C22" s="38" t="s">
        <v>9</v>
      </c>
      <c r="D22" s="39">
        <f t="shared" si="11"/>
        <v>0.30208337499999993</v>
      </c>
      <c r="E22" s="94">
        <v>1</v>
      </c>
      <c r="F22" s="262">
        <v>0</v>
      </c>
      <c r="G22" s="95">
        <v>0</v>
      </c>
      <c r="H22" s="42">
        <f t="shared" si="0"/>
        <v>1</v>
      </c>
      <c r="I22" s="94">
        <v>34</v>
      </c>
      <c r="J22" s="262">
        <v>1</v>
      </c>
      <c r="K22" s="95">
        <v>4</v>
      </c>
      <c r="L22" s="42">
        <f t="shared" si="1"/>
        <v>39</v>
      </c>
      <c r="M22" s="94">
        <v>183</v>
      </c>
      <c r="N22" s="262">
        <v>2</v>
      </c>
      <c r="O22" s="95">
        <v>0</v>
      </c>
      <c r="P22" s="42">
        <f t="shared" si="2"/>
        <v>185</v>
      </c>
      <c r="Q22" s="94">
        <v>11</v>
      </c>
      <c r="R22" s="262">
        <v>0</v>
      </c>
      <c r="S22" s="95">
        <v>0</v>
      </c>
      <c r="T22" s="42">
        <f t="shared" si="3"/>
        <v>11</v>
      </c>
      <c r="U22" s="94">
        <v>0</v>
      </c>
      <c r="V22" s="262">
        <v>0</v>
      </c>
      <c r="W22" s="95">
        <v>0</v>
      </c>
      <c r="X22" s="42">
        <f t="shared" si="4"/>
        <v>0</v>
      </c>
      <c r="Y22" s="94">
        <v>7</v>
      </c>
      <c r="Z22" s="262">
        <v>0</v>
      </c>
      <c r="AA22" s="95">
        <v>0</v>
      </c>
      <c r="AB22" s="42">
        <f t="shared" si="5"/>
        <v>7</v>
      </c>
      <c r="AC22" s="94">
        <v>0</v>
      </c>
      <c r="AD22" s="262">
        <v>0</v>
      </c>
      <c r="AE22" s="95">
        <v>0</v>
      </c>
      <c r="AF22" s="42">
        <f t="shared" si="6"/>
        <v>0</v>
      </c>
      <c r="AG22" s="94">
        <v>33</v>
      </c>
      <c r="AH22" s="262">
        <v>0</v>
      </c>
      <c r="AI22" s="95">
        <v>0</v>
      </c>
      <c r="AJ22" s="42">
        <f t="shared" si="7"/>
        <v>33</v>
      </c>
      <c r="AK22" s="94">
        <v>15</v>
      </c>
      <c r="AL22" s="262">
        <v>0</v>
      </c>
      <c r="AM22" s="95">
        <v>0</v>
      </c>
      <c r="AN22" s="42">
        <f t="shared" si="8"/>
        <v>15</v>
      </c>
      <c r="AO22" s="94">
        <v>0</v>
      </c>
      <c r="AP22" s="262">
        <v>0</v>
      </c>
      <c r="AQ22" s="95">
        <v>0</v>
      </c>
      <c r="AR22" s="42">
        <f t="shared" si="9"/>
        <v>0</v>
      </c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 spans="2:56" ht="24.95" customHeight="1">
      <c r="B23" s="37">
        <f t="shared" si="10"/>
        <v>0.30208337499999993</v>
      </c>
      <c r="C23" s="38" t="s">
        <v>9</v>
      </c>
      <c r="D23" s="39">
        <f t="shared" si="11"/>
        <v>0.31250004999999992</v>
      </c>
      <c r="E23" s="94">
        <v>0</v>
      </c>
      <c r="F23" s="262">
        <v>0</v>
      </c>
      <c r="G23" s="95">
        <v>0</v>
      </c>
      <c r="H23" s="42">
        <f t="shared" si="0"/>
        <v>0</v>
      </c>
      <c r="I23" s="94">
        <v>38</v>
      </c>
      <c r="J23" s="262">
        <v>4</v>
      </c>
      <c r="K23" s="95">
        <v>7</v>
      </c>
      <c r="L23" s="42">
        <f t="shared" si="1"/>
        <v>49</v>
      </c>
      <c r="M23" s="94">
        <v>171</v>
      </c>
      <c r="N23" s="262">
        <v>2</v>
      </c>
      <c r="O23" s="95">
        <v>0</v>
      </c>
      <c r="P23" s="42">
        <f t="shared" si="2"/>
        <v>173</v>
      </c>
      <c r="Q23" s="94">
        <v>11</v>
      </c>
      <c r="R23" s="262">
        <v>1</v>
      </c>
      <c r="S23" s="95">
        <v>0</v>
      </c>
      <c r="T23" s="42">
        <f t="shared" si="3"/>
        <v>12</v>
      </c>
      <c r="U23" s="94">
        <v>1</v>
      </c>
      <c r="V23" s="262">
        <v>0</v>
      </c>
      <c r="W23" s="95">
        <v>0</v>
      </c>
      <c r="X23" s="42">
        <f t="shared" si="4"/>
        <v>1</v>
      </c>
      <c r="Y23" s="94">
        <v>10</v>
      </c>
      <c r="Z23" s="262">
        <v>0</v>
      </c>
      <c r="AA23" s="95">
        <v>0</v>
      </c>
      <c r="AB23" s="42">
        <f t="shared" si="5"/>
        <v>10</v>
      </c>
      <c r="AC23" s="94">
        <v>3</v>
      </c>
      <c r="AD23" s="262">
        <v>0</v>
      </c>
      <c r="AE23" s="95">
        <v>0</v>
      </c>
      <c r="AF23" s="42">
        <f t="shared" si="6"/>
        <v>3</v>
      </c>
      <c r="AG23" s="94">
        <v>45</v>
      </c>
      <c r="AH23" s="262">
        <v>3</v>
      </c>
      <c r="AI23" s="95">
        <v>0</v>
      </c>
      <c r="AJ23" s="42">
        <f t="shared" si="7"/>
        <v>48</v>
      </c>
      <c r="AK23" s="94">
        <v>22</v>
      </c>
      <c r="AL23" s="262">
        <v>0</v>
      </c>
      <c r="AM23" s="95">
        <v>0</v>
      </c>
      <c r="AN23" s="42">
        <f t="shared" si="8"/>
        <v>22</v>
      </c>
      <c r="AO23" s="94">
        <v>0</v>
      </c>
      <c r="AP23" s="262">
        <v>0</v>
      </c>
      <c r="AQ23" s="95">
        <v>0</v>
      </c>
      <c r="AR23" s="42">
        <f t="shared" si="9"/>
        <v>0</v>
      </c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</row>
    <row r="24" spans="2:56" ht="24.95" customHeight="1">
      <c r="B24" s="37">
        <f t="shared" si="10"/>
        <v>0.31250004999999992</v>
      </c>
      <c r="C24" s="38" t="s">
        <v>9</v>
      </c>
      <c r="D24" s="39">
        <f t="shared" si="11"/>
        <v>0.3229167249999999</v>
      </c>
      <c r="E24" s="94">
        <v>1</v>
      </c>
      <c r="F24" s="262">
        <v>0</v>
      </c>
      <c r="G24" s="95">
        <v>0</v>
      </c>
      <c r="H24" s="42">
        <f t="shared" si="0"/>
        <v>1</v>
      </c>
      <c r="I24" s="94">
        <v>40</v>
      </c>
      <c r="J24" s="262">
        <v>1</v>
      </c>
      <c r="K24" s="95">
        <v>7</v>
      </c>
      <c r="L24" s="42">
        <f t="shared" si="1"/>
        <v>48</v>
      </c>
      <c r="M24" s="94">
        <v>161</v>
      </c>
      <c r="N24" s="262">
        <v>0</v>
      </c>
      <c r="O24" s="95">
        <v>0</v>
      </c>
      <c r="P24" s="42">
        <f t="shared" si="2"/>
        <v>161</v>
      </c>
      <c r="Q24" s="94">
        <v>14</v>
      </c>
      <c r="R24" s="262">
        <v>0</v>
      </c>
      <c r="S24" s="95">
        <v>0</v>
      </c>
      <c r="T24" s="42">
        <f t="shared" si="3"/>
        <v>14</v>
      </c>
      <c r="U24" s="94">
        <v>1</v>
      </c>
      <c r="V24" s="262">
        <v>0</v>
      </c>
      <c r="W24" s="95">
        <v>0</v>
      </c>
      <c r="X24" s="42">
        <f t="shared" si="4"/>
        <v>1</v>
      </c>
      <c r="Y24" s="94">
        <v>7</v>
      </c>
      <c r="Z24" s="262">
        <v>0</v>
      </c>
      <c r="AA24" s="95">
        <v>0</v>
      </c>
      <c r="AB24" s="42">
        <f t="shared" si="5"/>
        <v>7</v>
      </c>
      <c r="AC24" s="94">
        <v>1</v>
      </c>
      <c r="AD24" s="262">
        <v>0</v>
      </c>
      <c r="AE24" s="95">
        <v>0</v>
      </c>
      <c r="AF24" s="42">
        <f t="shared" si="6"/>
        <v>1</v>
      </c>
      <c r="AG24" s="94">
        <v>51</v>
      </c>
      <c r="AH24" s="262">
        <v>1</v>
      </c>
      <c r="AI24" s="95">
        <v>0</v>
      </c>
      <c r="AJ24" s="42">
        <f t="shared" si="7"/>
        <v>52</v>
      </c>
      <c r="AK24" s="94">
        <v>33</v>
      </c>
      <c r="AL24" s="262">
        <v>0</v>
      </c>
      <c r="AM24" s="95">
        <v>0</v>
      </c>
      <c r="AN24" s="42">
        <f t="shared" si="8"/>
        <v>33</v>
      </c>
      <c r="AO24" s="94">
        <v>0</v>
      </c>
      <c r="AP24" s="262">
        <v>0</v>
      </c>
      <c r="AQ24" s="95">
        <v>0</v>
      </c>
      <c r="AR24" s="42">
        <f t="shared" si="9"/>
        <v>0</v>
      </c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</row>
    <row r="25" spans="2:56" ht="24.95" customHeight="1">
      <c r="B25" s="37">
        <f t="shared" si="10"/>
        <v>0.3229167249999999</v>
      </c>
      <c r="C25" s="38" t="s">
        <v>9</v>
      </c>
      <c r="D25" s="39">
        <f t="shared" si="11"/>
        <v>0.33333339999999989</v>
      </c>
      <c r="E25" s="94">
        <v>0</v>
      </c>
      <c r="F25" s="262">
        <v>0</v>
      </c>
      <c r="G25" s="95">
        <v>0</v>
      </c>
      <c r="H25" s="42">
        <f t="shared" si="0"/>
        <v>0</v>
      </c>
      <c r="I25" s="94">
        <v>36</v>
      </c>
      <c r="J25" s="262">
        <v>0</v>
      </c>
      <c r="K25" s="95">
        <v>6</v>
      </c>
      <c r="L25" s="42">
        <f t="shared" si="1"/>
        <v>42</v>
      </c>
      <c r="M25" s="94">
        <v>142</v>
      </c>
      <c r="N25" s="262">
        <v>0</v>
      </c>
      <c r="O25" s="95">
        <v>0</v>
      </c>
      <c r="P25" s="42">
        <f t="shared" si="2"/>
        <v>142</v>
      </c>
      <c r="Q25" s="94">
        <v>9</v>
      </c>
      <c r="R25" s="262">
        <v>0</v>
      </c>
      <c r="S25" s="95">
        <v>0</v>
      </c>
      <c r="T25" s="42">
        <f t="shared" si="3"/>
        <v>9</v>
      </c>
      <c r="U25" s="94">
        <v>0</v>
      </c>
      <c r="V25" s="262">
        <v>0</v>
      </c>
      <c r="W25" s="95">
        <v>0</v>
      </c>
      <c r="X25" s="42">
        <f t="shared" si="4"/>
        <v>0</v>
      </c>
      <c r="Y25" s="94">
        <v>6</v>
      </c>
      <c r="Z25" s="262">
        <v>0</v>
      </c>
      <c r="AA25" s="95">
        <v>0</v>
      </c>
      <c r="AB25" s="42">
        <f t="shared" si="5"/>
        <v>6</v>
      </c>
      <c r="AC25" s="94">
        <v>0</v>
      </c>
      <c r="AD25" s="262">
        <v>0</v>
      </c>
      <c r="AE25" s="95">
        <v>0</v>
      </c>
      <c r="AF25" s="42">
        <f t="shared" si="6"/>
        <v>0</v>
      </c>
      <c r="AG25" s="94">
        <v>65</v>
      </c>
      <c r="AH25" s="262">
        <v>0</v>
      </c>
      <c r="AI25" s="95">
        <v>0</v>
      </c>
      <c r="AJ25" s="42">
        <f t="shared" si="7"/>
        <v>65</v>
      </c>
      <c r="AK25" s="94">
        <v>34</v>
      </c>
      <c r="AL25" s="262">
        <v>0</v>
      </c>
      <c r="AM25" s="95">
        <v>0</v>
      </c>
      <c r="AN25" s="42">
        <f t="shared" si="8"/>
        <v>34</v>
      </c>
      <c r="AO25" s="94">
        <v>1</v>
      </c>
      <c r="AP25" s="262">
        <v>0</v>
      </c>
      <c r="AQ25" s="95">
        <v>0</v>
      </c>
      <c r="AR25" s="42">
        <f t="shared" si="9"/>
        <v>1</v>
      </c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</row>
    <row r="26" spans="2:56" ht="24.95" customHeight="1">
      <c r="B26" s="37">
        <f t="shared" ref="B26:B27" si="12">+D25</f>
        <v>0.33333339999999989</v>
      </c>
      <c r="C26" s="38" t="s">
        <v>9</v>
      </c>
      <c r="D26" s="39">
        <f t="shared" ref="D26:D27" si="13">SUM(0.0416667/4)+B26</f>
        <v>0.34375007499999988</v>
      </c>
      <c r="E26" s="94">
        <v>0</v>
      </c>
      <c r="F26" s="262">
        <v>0</v>
      </c>
      <c r="G26" s="95">
        <v>0</v>
      </c>
      <c r="H26" s="42">
        <f t="shared" si="0"/>
        <v>0</v>
      </c>
      <c r="I26" s="94">
        <v>23</v>
      </c>
      <c r="J26" s="262">
        <v>1</v>
      </c>
      <c r="K26" s="95">
        <v>5</v>
      </c>
      <c r="L26" s="42">
        <f t="shared" si="1"/>
        <v>29</v>
      </c>
      <c r="M26" s="94">
        <v>120</v>
      </c>
      <c r="N26" s="262">
        <v>2</v>
      </c>
      <c r="O26" s="95">
        <v>0</v>
      </c>
      <c r="P26" s="42">
        <f t="shared" si="2"/>
        <v>122</v>
      </c>
      <c r="Q26" s="94">
        <v>12</v>
      </c>
      <c r="R26" s="262">
        <v>1</v>
      </c>
      <c r="S26" s="95">
        <v>0</v>
      </c>
      <c r="T26" s="42">
        <f t="shared" si="3"/>
        <v>13</v>
      </c>
      <c r="U26" s="94">
        <v>1</v>
      </c>
      <c r="V26" s="262">
        <v>0</v>
      </c>
      <c r="W26" s="95">
        <v>0</v>
      </c>
      <c r="X26" s="42">
        <f t="shared" si="4"/>
        <v>1</v>
      </c>
      <c r="Y26" s="94">
        <v>15</v>
      </c>
      <c r="Z26" s="262">
        <v>0</v>
      </c>
      <c r="AA26" s="95">
        <v>0</v>
      </c>
      <c r="AB26" s="42">
        <f t="shared" si="5"/>
        <v>15</v>
      </c>
      <c r="AC26" s="94">
        <v>3</v>
      </c>
      <c r="AD26" s="262">
        <v>0</v>
      </c>
      <c r="AE26" s="95">
        <v>0</v>
      </c>
      <c r="AF26" s="42">
        <f t="shared" si="6"/>
        <v>3</v>
      </c>
      <c r="AG26" s="94">
        <v>79</v>
      </c>
      <c r="AH26" s="262">
        <v>2</v>
      </c>
      <c r="AI26" s="95">
        <v>0</v>
      </c>
      <c r="AJ26" s="42">
        <f t="shared" si="7"/>
        <v>81</v>
      </c>
      <c r="AK26" s="94">
        <v>39</v>
      </c>
      <c r="AL26" s="262">
        <v>1</v>
      </c>
      <c r="AM26" s="95">
        <v>0</v>
      </c>
      <c r="AN26" s="42">
        <f t="shared" si="8"/>
        <v>40</v>
      </c>
      <c r="AO26" s="94">
        <v>0</v>
      </c>
      <c r="AP26" s="262">
        <v>0</v>
      </c>
      <c r="AQ26" s="95">
        <v>0</v>
      </c>
      <c r="AR26" s="42">
        <f t="shared" si="9"/>
        <v>0</v>
      </c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</row>
    <row r="27" spans="2:56" ht="24.95" customHeight="1">
      <c r="B27" s="37">
        <f t="shared" si="12"/>
        <v>0.34375007499999988</v>
      </c>
      <c r="C27" s="38" t="s">
        <v>9</v>
      </c>
      <c r="D27" s="39">
        <f t="shared" si="13"/>
        <v>0.35416674999999986</v>
      </c>
      <c r="E27" s="94">
        <v>0</v>
      </c>
      <c r="F27" s="262">
        <v>0</v>
      </c>
      <c r="G27" s="95">
        <v>0</v>
      </c>
      <c r="H27" s="42">
        <f t="shared" si="0"/>
        <v>0</v>
      </c>
      <c r="I27" s="94">
        <v>37</v>
      </c>
      <c r="J27" s="262">
        <v>1</v>
      </c>
      <c r="K27" s="95">
        <v>6</v>
      </c>
      <c r="L27" s="42">
        <f t="shared" si="1"/>
        <v>44</v>
      </c>
      <c r="M27" s="94">
        <v>113</v>
      </c>
      <c r="N27" s="262">
        <v>1</v>
      </c>
      <c r="O27" s="95">
        <v>0</v>
      </c>
      <c r="P27" s="42">
        <f t="shared" si="2"/>
        <v>114</v>
      </c>
      <c r="Q27" s="94">
        <v>12</v>
      </c>
      <c r="R27" s="262">
        <v>1</v>
      </c>
      <c r="S27" s="95">
        <v>0</v>
      </c>
      <c r="T27" s="42">
        <f t="shared" si="3"/>
        <v>13</v>
      </c>
      <c r="U27" s="94">
        <v>0</v>
      </c>
      <c r="V27" s="262">
        <v>0</v>
      </c>
      <c r="W27" s="95">
        <v>0</v>
      </c>
      <c r="X27" s="42">
        <f t="shared" si="4"/>
        <v>0</v>
      </c>
      <c r="Y27" s="94">
        <v>11</v>
      </c>
      <c r="Z27" s="262">
        <v>0</v>
      </c>
      <c r="AA27" s="95">
        <v>0</v>
      </c>
      <c r="AB27" s="42">
        <f t="shared" si="5"/>
        <v>11</v>
      </c>
      <c r="AC27" s="94">
        <v>4</v>
      </c>
      <c r="AD27" s="262">
        <v>0</v>
      </c>
      <c r="AE27" s="95">
        <v>0</v>
      </c>
      <c r="AF27" s="42">
        <f t="shared" si="6"/>
        <v>4</v>
      </c>
      <c r="AG27" s="94">
        <v>93</v>
      </c>
      <c r="AH27" s="262">
        <v>2</v>
      </c>
      <c r="AI27" s="95">
        <v>0</v>
      </c>
      <c r="AJ27" s="42">
        <f t="shared" si="7"/>
        <v>95</v>
      </c>
      <c r="AK27" s="94">
        <v>37</v>
      </c>
      <c r="AL27" s="262">
        <v>0</v>
      </c>
      <c r="AM27" s="95">
        <v>0</v>
      </c>
      <c r="AN27" s="42">
        <f t="shared" si="8"/>
        <v>37</v>
      </c>
      <c r="AO27" s="94">
        <v>0</v>
      </c>
      <c r="AP27" s="262">
        <v>0</v>
      </c>
      <c r="AQ27" s="95">
        <v>0</v>
      </c>
      <c r="AR27" s="42">
        <f t="shared" si="9"/>
        <v>0</v>
      </c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</row>
    <row r="28" spans="2:56" ht="24.95" customHeight="1">
      <c r="B28" s="37">
        <f t="shared" ref="B28:B33" si="14">+D27</f>
        <v>0.35416674999999986</v>
      </c>
      <c r="C28" s="38" t="s">
        <v>9</v>
      </c>
      <c r="D28" s="39">
        <f t="shared" ref="D28:D33" si="15">SUM(0.0416667/4)+B28</f>
        <v>0.36458342499999985</v>
      </c>
      <c r="E28" s="94">
        <v>3</v>
      </c>
      <c r="F28" s="262">
        <v>0</v>
      </c>
      <c r="G28" s="95">
        <v>0</v>
      </c>
      <c r="H28" s="42">
        <f t="shared" ref="H28:H33" si="16">SUM(E28:G28)</f>
        <v>3</v>
      </c>
      <c r="I28" s="94">
        <v>46</v>
      </c>
      <c r="J28" s="262">
        <v>1</v>
      </c>
      <c r="K28" s="95">
        <v>5</v>
      </c>
      <c r="L28" s="42">
        <f t="shared" ref="L28:L33" si="17">SUM(I28:K28)</f>
        <v>52</v>
      </c>
      <c r="M28" s="94">
        <v>110</v>
      </c>
      <c r="N28" s="262">
        <v>0</v>
      </c>
      <c r="O28" s="95">
        <v>0</v>
      </c>
      <c r="P28" s="42">
        <f t="shared" ref="P28:P33" si="18">SUM(M28:O28)</f>
        <v>110</v>
      </c>
      <c r="Q28" s="94">
        <v>15</v>
      </c>
      <c r="R28" s="262">
        <v>0</v>
      </c>
      <c r="S28" s="95">
        <v>0</v>
      </c>
      <c r="T28" s="42">
        <f t="shared" ref="T28:T33" si="19">SUM(Q28:S28)</f>
        <v>15</v>
      </c>
      <c r="U28" s="94">
        <v>0</v>
      </c>
      <c r="V28" s="262">
        <v>0</v>
      </c>
      <c r="W28" s="95">
        <v>0</v>
      </c>
      <c r="X28" s="42">
        <f t="shared" ref="X28:X33" si="20">SUM(U28:W28)</f>
        <v>0</v>
      </c>
      <c r="Y28" s="94">
        <v>16</v>
      </c>
      <c r="Z28" s="262">
        <v>0</v>
      </c>
      <c r="AA28" s="95">
        <v>0</v>
      </c>
      <c r="AB28" s="42">
        <f t="shared" ref="AB28:AB33" si="21">SUM(Y28:AA28)</f>
        <v>16</v>
      </c>
      <c r="AC28" s="94">
        <v>4</v>
      </c>
      <c r="AD28" s="262">
        <v>0</v>
      </c>
      <c r="AE28" s="95">
        <v>0</v>
      </c>
      <c r="AF28" s="42">
        <f t="shared" ref="AF28:AF33" si="22">SUM(AC28:AE28)</f>
        <v>4</v>
      </c>
      <c r="AG28" s="94">
        <v>72</v>
      </c>
      <c r="AH28" s="262">
        <v>1</v>
      </c>
      <c r="AI28" s="95">
        <v>0</v>
      </c>
      <c r="AJ28" s="42">
        <f t="shared" ref="AJ28:AJ33" si="23">SUM(AG28:AI28)</f>
        <v>73</v>
      </c>
      <c r="AK28" s="94">
        <v>36</v>
      </c>
      <c r="AL28" s="262">
        <v>0</v>
      </c>
      <c r="AM28" s="95">
        <v>0</v>
      </c>
      <c r="AN28" s="42">
        <f t="shared" ref="AN28:AN33" si="24">SUM(AK28:AM28)</f>
        <v>36</v>
      </c>
      <c r="AO28" s="94">
        <v>1</v>
      </c>
      <c r="AP28" s="262">
        <v>0</v>
      </c>
      <c r="AQ28" s="95">
        <v>0</v>
      </c>
      <c r="AR28" s="42">
        <f t="shared" ref="AR28:AR33" si="25">SUM(AO28:AQ28)</f>
        <v>1</v>
      </c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</row>
    <row r="29" spans="2:56" ht="24.95" customHeight="1">
      <c r="B29" s="37">
        <f t="shared" si="14"/>
        <v>0.36458342499999985</v>
      </c>
      <c r="C29" s="38" t="s">
        <v>9</v>
      </c>
      <c r="D29" s="39">
        <f t="shared" si="15"/>
        <v>0.37500009999999984</v>
      </c>
      <c r="E29" s="94">
        <v>0</v>
      </c>
      <c r="F29" s="262">
        <v>0</v>
      </c>
      <c r="G29" s="95">
        <v>0</v>
      </c>
      <c r="H29" s="42">
        <f t="shared" si="16"/>
        <v>0</v>
      </c>
      <c r="I29" s="94">
        <v>46</v>
      </c>
      <c r="J29" s="262">
        <v>4</v>
      </c>
      <c r="K29" s="95">
        <v>4</v>
      </c>
      <c r="L29" s="42">
        <f t="shared" si="17"/>
        <v>54</v>
      </c>
      <c r="M29" s="94">
        <v>97</v>
      </c>
      <c r="N29" s="262">
        <v>2</v>
      </c>
      <c r="O29" s="95">
        <v>0</v>
      </c>
      <c r="P29" s="42">
        <f t="shared" si="18"/>
        <v>99</v>
      </c>
      <c r="Q29" s="94">
        <v>24</v>
      </c>
      <c r="R29" s="262">
        <v>1</v>
      </c>
      <c r="S29" s="95">
        <v>0</v>
      </c>
      <c r="T29" s="42">
        <f t="shared" si="19"/>
        <v>25</v>
      </c>
      <c r="U29" s="94">
        <v>1</v>
      </c>
      <c r="V29" s="262">
        <v>0</v>
      </c>
      <c r="W29" s="95">
        <v>0</v>
      </c>
      <c r="X29" s="42">
        <f t="shared" si="20"/>
        <v>1</v>
      </c>
      <c r="Y29" s="94">
        <v>20</v>
      </c>
      <c r="Z29" s="262">
        <v>0</v>
      </c>
      <c r="AA29" s="95">
        <v>0</v>
      </c>
      <c r="AB29" s="42">
        <f t="shared" si="21"/>
        <v>20</v>
      </c>
      <c r="AC29" s="94">
        <v>9</v>
      </c>
      <c r="AD29" s="262">
        <v>1</v>
      </c>
      <c r="AE29" s="95">
        <v>0</v>
      </c>
      <c r="AF29" s="42">
        <f t="shared" si="22"/>
        <v>10</v>
      </c>
      <c r="AG29" s="94">
        <v>76</v>
      </c>
      <c r="AH29" s="262">
        <v>0</v>
      </c>
      <c r="AI29" s="95">
        <v>0</v>
      </c>
      <c r="AJ29" s="42">
        <f t="shared" si="23"/>
        <v>76</v>
      </c>
      <c r="AK29" s="94">
        <v>27</v>
      </c>
      <c r="AL29" s="262">
        <v>0</v>
      </c>
      <c r="AM29" s="95">
        <v>0</v>
      </c>
      <c r="AN29" s="42">
        <f t="shared" si="24"/>
        <v>27</v>
      </c>
      <c r="AO29" s="94">
        <v>0</v>
      </c>
      <c r="AP29" s="262">
        <v>0</v>
      </c>
      <c r="AQ29" s="95">
        <v>0</v>
      </c>
      <c r="AR29" s="42">
        <f t="shared" si="25"/>
        <v>0</v>
      </c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</row>
    <row r="30" spans="2:56" ht="24.95" customHeight="1">
      <c r="B30" s="37">
        <f t="shared" si="14"/>
        <v>0.37500009999999984</v>
      </c>
      <c r="C30" s="38" t="s">
        <v>9</v>
      </c>
      <c r="D30" s="39">
        <f t="shared" si="15"/>
        <v>0.38541677499999982</v>
      </c>
      <c r="E30" s="94">
        <v>0</v>
      </c>
      <c r="F30" s="262">
        <v>0</v>
      </c>
      <c r="G30" s="95">
        <v>0</v>
      </c>
      <c r="H30" s="42">
        <f t="shared" si="16"/>
        <v>0</v>
      </c>
      <c r="I30" s="94">
        <v>57</v>
      </c>
      <c r="J30" s="262">
        <v>2</v>
      </c>
      <c r="K30" s="95">
        <v>6</v>
      </c>
      <c r="L30" s="42">
        <f t="shared" si="17"/>
        <v>65</v>
      </c>
      <c r="M30" s="94">
        <v>88</v>
      </c>
      <c r="N30" s="262">
        <v>2</v>
      </c>
      <c r="O30" s="95">
        <v>0</v>
      </c>
      <c r="P30" s="42">
        <f t="shared" si="18"/>
        <v>90</v>
      </c>
      <c r="Q30" s="94">
        <v>17</v>
      </c>
      <c r="R30" s="262">
        <v>0</v>
      </c>
      <c r="S30" s="95">
        <v>0</v>
      </c>
      <c r="T30" s="42">
        <f t="shared" si="19"/>
        <v>17</v>
      </c>
      <c r="U30" s="94">
        <v>1</v>
      </c>
      <c r="V30" s="262">
        <v>0</v>
      </c>
      <c r="W30" s="95">
        <v>0</v>
      </c>
      <c r="X30" s="42">
        <f t="shared" si="20"/>
        <v>1</v>
      </c>
      <c r="Y30" s="94">
        <v>15</v>
      </c>
      <c r="Z30" s="262">
        <v>3</v>
      </c>
      <c r="AA30" s="95">
        <v>0</v>
      </c>
      <c r="AB30" s="42">
        <f t="shared" si="21"/>
        <v>18</v>
      </c>
      <c r="AC30" s="94">
        <v>5</v>
      </c>
      <c r="AD30" s="262">
        <v>0</v>
      </c>
      <c r="AE30" s="95">
        <v>0</v>
      </c>
      <c r="AF30" s="42">
        <f t="shared" si="22"/>
        <v>5</v>
      </c>
      <c r="AG30" s="94">
        <v>62</v>
      </c>
      <c r="AH30" s="262">
        <v>1</v>
      </c>
      <c r="AI30" s="95">
        <v>0</v>
      </c>
      <c r="AJ30" s="42">
        <f t="shared" si="23"/>
        <v>63</v>
      </c>
      <c r="AK30" s="94">
        <v>16</v>
      </c>
      <c r="AL30" s="262">
        <v>0</v>
      </c>
      <c r="AM30" s="95">
        <v>0</v>
      </c>
      <c r="AN30" s="42">
        <f t="shared" si="24"/>
        <v>16</v>
      </c>
      <c r="AO30" s="94">
        <v>1</v>
      </c>
      <c r="AP30" s="262">
        <v>0</v>
      </c>
      <c r="AQ30" s="95">
        <v>0</v>
      </c>
      <c r="AR30" s="42">
        <f t="shared" si="25"/>
        <v>1</v>
      </c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</row>
    <row r="31" spans="2:56" ht="24.95" customHeight="1">
      <c r="B31" s="37">
        <f t="shared" si="14"/>
        <v>0.38541677499999982</v>
      </c>
      <c r="C31" s="38" t="s">
        <v>9</v>
      </c>
      <c r="D31" s="39">
        <f t="shared" si="15"/>
        <v>0.39583344999999981</v>
      </c>
      <c r="E31" s="94">
        <v>3</v>
      </c>
      <c r="F31" s="262">
        <v>0</v>
      </c>
      <c r="G31" s="95">
        <v>0</v>
      </c>
      <c r="H31" s="42">
        <f t="shared" si="16"/>
        <v>3</v>
      </c>
      <c r="I31" s="94">
        <v>42</v>
      </c>
      <c r="J31" s="262">
        <v>1</v>
      </c>
      <c r="K31" s="95">
        <v>5</v>
      </c>
      <c r="L31" s="42">
        <f t="shared" si="17"/>
        <v>48</v>
      </c>
      <c r="M31" s="94">
        <v>76</v>
      </c>
      <c r="N31" s="262">
        <v>2</v>
      </c>
      <c r="O31" s="95">
        <v>0</v>
      </c>
      <c r="P31" s="42">
        <f t="shared" si="18"/>
        <v>78</v>
      </c>
      <c r="Q31" s="94">
        <v>21</v>
      </c>
      <c r="R31" s="262">
        <v>0</v>
      </c>
      <c r="S31" s="95">
        <v>0</v>
      </c>
      <c r="T31" s="42">
        <f t="shared" si="19"/>
        <v>21</v>
      </c>
      <c r="U31" s="94">
        <v>0</v>
      </c>
      <c r="V31" s="262">
        <v>0</v>
      </c>
      <c r="W31" s="95">
        <v>0</v>
      </c>
      <c r="X31" s="42">
        <f t="shared" si="20"/>
        <v>0</v>
      </c>
      <c r="Y31" s="94">
        <v>20</v>
      </c>
      <c r="Z31" s="262">
        <v>0</v>
      </c>
      <c r="AA31" s="95">
        <v>0</v>
      </c>
      <c r="AB31" s="42">
        <f t="shared" si="21"/>
        <v>20</v>
      </c>
      <c r="AC31" s="94">
        <v>2</v>
      </c>
      <c r="AD31" s="262">
        <v>0</v>
      </c>
      <c r="AE31" s="95">
        <v>0</v>
      </c>
      <c r="AF31" s="42">
        <f t="shared" si="22"/>
        <v>2</v>
      </c>
      <c r="AG31" s="94">
        <v>31</v>
      </c>
      <c r="AH31" s="262">
        <v>2</v>
      </c>
      <c r="AI31" s="95">
        <v>0</v>
      </c>
      <c r="AJ31" s="42">
        <f t="shared" si="23"/>
        <v>33</v>
      </c>
      <c r="AK31" s="94">
        <v>11</v>
      </c>
      <c r="AL31" s="262">
        <v>0</v>
      </c>
      <c r="AM31" s="95">
        <v>0</v>
      </c>
      <c r="AN31" s="42">
        <f t="shared" si="24"/>
        <v>11</v>
      </c>
      <c r="AO31" s="94">
        <v>0</v>
      </c>
      <c r="AP31" s="262">
        <v>0</v>
      </c>
      <c r="AQ31" s="95">
        <v>0</v>
      </c>
      <c r="AR31" s="42">
        <f t="shared" si="25"/>
        <v>0</v>
      </c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</row>
    <row r="32" spans="2:56" ht="24.95" customHeight="1">
      <c r="B32" s="37">
        <f t="shared" si="14"/>
        <v>0.39583344999999981</v>
      </c>
      <c r="C32" s="38" t="s">
        <v>9</v>
      </c>
      <c r="D32" s="39">
        <f t="shared" si="15"/>
        <v>0.4062501249999998</v>
      </c>
      <c r="E32" s="94">
        <v>5</v>
      </c>
      <c r="F32" s="262">
        <v>0</v>
      </c>
      <c r="G32" s="95">
        <v>0</v>
      </c>
      <c r="H32" s="42">
        <f t="shared" si="16"/>
        <v>5</v>
      </c>
      <c r="I32" s="94">
        <v>57</v>
      </c>
      <c r="J32" s="262">
        <v>1</v>
      </c>
      <c r="K32" s="95">
        <v>4</v>
      </c>
      <c r="L32" s="42">
        <f t="shared" si="17"/>
        <v>62</v>
      </c>
      <c r="M32" s="94">
        <v>81</v>
      </c>
      <c r="N32" s="262">
        <v>1</v>
      </c>
      <c r="O32" s="95">
        <v>0</v>
      </c>
      <c r="P32" s="42">
        <f t="shared" si="18"/>
        <v>82</v>
      </c>
      <c r="Q32" s="94">
        <v>23</v>
      </c>
      <c r="R32" s="262">
        <v>0</v>
      </c>
      <c r="S32" s="95">
        <v>0</v>
      </c>
      <c r="T32" s="42">
        <f t="shared" si="19"/>
        <v>23</v>
      </c>
      <c r="U32" s="94">
        <v>2</v>
      </c>
      <c r="V32" s="262">
        <v>0</v>
      </c>
      <c r="W32" s="95">
        <v>0</v>
      </c>
      <c r="X32" s="42">
        <f t="shared" si="20"/>
        <v>2</v>
      </c>
      <c r="Y32" s="94">
        <v>18</v>
      </c>
      <c r="Z32" s="262">
        <v>1</v>
      </c>
      <c r="AA32" s="95">
        <v>0</v>
      </c>
      <c r="AB32" s="42">
        <f t="shared" si="21"/>
        <v>19</v>
      </c>
      <c r="AC32" s="94">
        <v>1</v>
      </c>
      <c r="AD32" s="262">
        <v>0</v>
      </c>
      <c r="AE32" s="95">
        <v>0</v>
      </c>
      <c r="AF32" s="42">
        <f t="shared" si="22"/>
        <v>1</v>
      </c>
      <c r="AG32" s="94">
        <v>36</v>
      </c>
      <c r="AH32" s="262">
        <v>4</v>
      </c>
      <c r="AI32" s="95">
        <v>0</v>
      </c>
      <c r="AJ32" s="42">
        <f t="shared" si="23"/>
        <v>40</v>
      </c>
      <c r="AK32" s="94">
        <v>10</v>
      </c>
      <c r="AL32" s="262">
        <v>0</v>
      </c>
      <c r="AM32" s="95">
        <v>0</v>
      </c>
      <c r="AN32" s="42">
        <f t="shared" si="24"/>
        <v>10</v>
      </c>
      <c r="AO32" s="94">
        <v>0</v>
      </c>
      <c r="AP32" s="262">
        <v>0</v>
      </c>
      <c r="AQ32" s="95">
        <v>0</v>
      </c>
      <c r="AR32" s="42">
        <f t="shared" si="25"/>
        <v>0</v>
      </c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</row>
    <row r="33" spans="2:56" ht="24.95" customHeight="1" thickBot="1">
      <c r="B33" s="37">
        <f t="shared" si="14"/>
        <v>0.4062501249999998</v>
      </c>
      <c r="C33" s="38" t="s">
        <v>9</v>
      </c>
      <c r="D33" s="39">
        <f t="shared" si="15"/>
        <v>0.41666679999999978</v>
      </c>
      <c r="E33" s="94">
        <v>5</v>
      </c>
      <c r="F33" s="262">
        <v>1</v>
      </c>
      <c r="G33" s="95">
        <v>0</v>
      </c>
      <c r="H33" s="42">
        <f t="shared" si="16"/>
        <v>6</v>
      </c>
      <c r="I33" s="94">
        <v>62</v>
      </c>
      <c r="J33" s="262">
        <v>1</v>
      </c>
      <c r="K33" s="95">
        <v>3</v>
      </c>
      <c r="L33" s="42">
        <f t="shared" si="17"/>
        <v>66</v>
      </c>
      <c r="M33" s="94">
        <v>62</v>
      </c>
      <c r="N33" s="262">
        <v>0</v>
      </c>
      <c r="O33" s="95">
        <v>0</v>
      </c>
      <c r="P33" s="42">
        <f t="shared" si="18"/>
        <v>62</v>
      </c>
      <c r="Q33" s="94">
        <v>13</v>
      </c>
      <c r="R33" s="262">
        <v>1</v>
      </c>
      <c r="S33" s="95">
        <v>0</v>
      </c>
      <c r="T33" s="42">
        <f t="shared" si="19"/>
        <v>14</v>
      </c>
      <c r="U33" s="94">
        <v>0</v>
      </c>
      <c r="V33" s="262">
        <v>0</v>
      </c>
      <c r="W33" s="95">
        <v>0</v>
      </c>
      <c r="X33" s="42">
        <f t="shared" si="20"/>
        <v>0</v>
      </c>
      <c r="Y33" s="94">
        <v>11</v>
      </c>
      <c r="Z33" s="262">
        <v>0</v>
      </c>
      <c r="AA33" s="95">
        <v>0</v>
      </c>
      <c r="AB33" s="42">
        <f t="shared" si="21"/>
        <v>11</v>
      </c>
      <c r="AC33" s="94">
        <v>4</v>
      </c>
      <c r="AD33" s="262">
        <v>0</v>
      </c>
      <c r="AE33" s="95">
        <v>0</v>
      </c>
      <c r="AF33" s="42">
        <f t="shared" si="22"/>
        <v>4</v>
      </c>
      <c r="AG33" s="94">
        <v>38</v>
      </c>
      <c r="AH33" s="262">
        <v>1</v>
      </c>
      <c r="AI33" s="95">
        <v>0</v>
      </c>
      <c r="AJ33" s="42">
        <f t="shared" si="23"/>
        <v>39</v>
      </c>
      <c r="AK33" s="94">
        <v>16</v>
      </c>
      <c r="AL33" s="262">
        <v>0</v>
      </c>
      <c r="AM33" s="95">
        <v>0</v>
      </c>
      <c r="AN33" s="42">
        <f t="shared" si="24"/>
        <v>16</v>
      </c>
      <c r="AO33" s="94">
        <v>0</v>
      </c>
      <c r="AP33" s="262">
        <v>0</v>
      </c>
      <c r="AQ33" s="95">
        <v>0</v>
      </c>
      <c r="AR33" s="42">
        <f t="shared" si="25"/>
        <v>0</v>
      </c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</row>
    <row r="34" spans="2:56" ht="30" customHeight="1" thickBot="1">
      <c r="B34" s="369" t="s">
        <v>10</v>
      </c>
      <c r="C34" s="370"/>
      <c r="D34" s="371"/>
      <c r="E34" s="44">
        <f>SUM(E18:E33)</f>
        <v>21</v>
      </c>
      <c r="F34" s="263">
        <f>SUM(F18:F33)</f>
        <v>1</v>
      </c>
      <c r="G34" s="45">
        <f>SUM(G18:G33)</f>
        <v>0</v>
      </c>
      <c r="H34" s="46">
        <f t="shared" ref="H34" si="26">SUM(E34:G34)</f>
        <v>22</v>
      </c>
      <c r="I34" s="44">
        <f>SUM(I18:I33)</f>
        <v>633</v>
      </c>
      <c r="J34" s="263">
        <f>SUM(J18:J33)</f>
        <v>22</v>
      </c>
      <c r="K34" s="45">
        <f>SUM(K18:K33)</f>
        <v>79</v>
      </c>
      <c r="L34" s="46">
        <f t="shared" ref="L34" si="27">SUM(I34:K34)</f>
        <v>734</v>
      </c>
      <c r="M34" s="44">
        <f>SUM(M18:M33)</f>
        <v>1900</v>
      </c>
      <c r="N34" s="263">
        <f>SUM(N18:N33)</f>
        <v>21</v>
      </c>
      <c r="O34" s="45">
        <f>SUM(O18:O33)</f>
        <v>1</v>
      </c>
      <c r="P34" s="46">
        <f t="shared" ref="P34" si="28">SUM(M34:O34)</f>
        <v>1922</v>
      </c>
      <c r="Q34" s="44">
        <f>SUM(Q18:Q33)</f>
        <v>216</v>
      </c>
      <c r="R34" s="263">
        <f>SUM(R18:R33)</f>
        <v>6</v>
      </c>
      <c r="S34" s="45">
        <f>SUM(S18:S33)</f>
        <v>0</v>
      </c>
      <c r="T34" s="46">
        <f t="shared" ref="T34" si="29">SUM(Q34:S34)</f>
        <v>222</v>
      </c>
      <c r="U34" s="44">
        <f>SUM(U18:U33)</f>
        <v>8</v>
      </c>
      <c r="V34" s="263">
        <f>SUM(V18:V33)</f>
        <v>0</v>
      </c>
      <c r="W34" s="45">
        <f>SUM(W18:W33)</f>
        <v>0</v>
      </c>
      <c r="X34" s="46">
        <f t="shared" ref="X34" si="30">SUM(U34:W34)</f>
        <v>8</v>
      </c>
      <c r="Y34" s="44">
        <f>SUM(Y18:Y33)</f>
        <v>168</v>
      </c>
      <c r="Z34" s="263">
        <f>SUM(Z18:Z33)</f>
        <v>4</v>
      </c>
      <c r="AA34" s="45">
        <f>SUM(AA18:AA33)</f>
        <v>0</v>
      </c>
      <c r="AB34" s="46">
        <f t="shared" ref="AB34" si="31">SUM(Y34:AA34)</f>
        <v>172</v>
      </c>
      <c r="AC34" s="44">
        <f>SUM(AC18:AC33)</f>
        <v>42</v>
      </c>
      <c r="AD34" s="263">
        <f>SUM(AD18:AD33)</f>
        <v>2</v>
      </c>
      <c r="AE34" s="45">
        <f>SUM(AE18:AE33)</f>
        <v>0</v>
      </c>
      <c r="AF34" s="46">
        <f t="shared" ref="AF34" si="32">SUM(AC34:AE34)</f>
        <v>44</v>
      </c>
      <c r="AG34" s="44">
        <f>SUM(AG18:AG33)</f>
        <v>787</v>
      </c>
      <c r="AH34" s="263">
        <f>SUM(AH18:AH33)</f>
        <v>18</v>
      </c>
      <c r="AI34" s="45">
        <f>SUM(AI18:AI33)</f>
        <v>0</v>
      </c>
      <c r="AJ34" s="46">
        <f t="shared" ref="AJ34" si="33">SUM(AG34:AI34)</f>
        <v>805</v>
      </c>
      <c r="AK34" s="44">
        <f>SUM(AK18:AK33)</f>
        <v>331</v>
      </c>
      <c r="AL34" s="263">
        <f>SUM(AL18:AL33)</f>
        <v>1</v>
      </c>
      <c r="AM34" s="45">
        <f>SUM(AM18:AM33)</f>
        <v>0</v>
      </c>
      <c r="AN34" s="46">
        <f t="shared" ref="AN34" si="34">SUM(AK34:AM34)</f>
        <v>332</v>
      </c>
      <c r="AO34" s="44">
        <f>SUM(AO18:AO33)</f>
        <v>3</v>
      </c>
      <c r="AP34" s="263">
        <f>SUM(AP18:AP33)</f>
        <v>0</v>
      </c>
      <c r="AQ34" s="45">
        <f>SUM(AQ18:AQ33)</f>
        <v>0</v>
      </c>
      <c r="AR34" s="46">
        <f t="shared" ref="AR34" si="35">SUM(AO34:AQ34)</f>
        <v>3</v>
      </c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</row>
    <row r="35" spans="2:56" ht="24.95" customHeight="1">
      <c r="B35" s="90">
        <v>0.60416666666666663</v>
      </c>
      <c r="C35" s="38" t="s">
        <v>9</v>
      </c>
      <c r="D35" s="39">
        <f t="shared" ref="D35:D42" si="36">SUM(0.0416667/4)+B35</f>
        <v>0.61458334166666662</v>
      </c>
      <c r="E35" s="94">
        <v>5</v>
      </c>
      <c r="F35" s="262">
        <v>0</v>
      </c>
      <c r="G35" s="95">
        <v>0</v>
      </c>
      <c r="H35" s="42">
        <f t="shared" si="0"/>
        <v>5</v>
      </c>
      <c r="I35" s="94">
        <v>58</v>
      </c>
      <c r="J35" s="262">
        <v>0</v>
      </c>
      <c r="K35" s="95">
        <v>5</v>
      </c>
      <c r="L35" s="42">
        <f t="shared" si="1"/>
        <v>63</v>
      </c>
      <c r="M35" s="94">
        <v>72</v>
      </c>
      <c r="N35" s="262">
        <v>2</v>
      </c>
      <c r="O35" s="95">
        <v>0</v>
      </c>
      <c r="P35" s="42">
        <f t="shared" si="2"/>
        <v>74</v>
      </c>
      <c r="Q35" s="94">
        <v>27</v>
      </c>
      <c r="R35" s="262">
        <v>0</v>
      </c>
      <c r="S35" s="95">
        <v>0</v>
      </c>
      <c r="T35" s="42">
        <f t="shared" si="3"/>
        <v>27</v>
      </c>
      <c r="U35" s="94">
        <v>1</v>
      </c>
      <c r="V35" s="262">
        <v>0</v>
      </c>
      <c r="W35" s="95">
        <v>0</v>
      </c>
      <c r="X35" s="42">
        <f t="shared" si="4"/>
        <v>1</v>
      </c>
      <c r="Y35" s="94">
        <v>23</v>
      </c>
      <c r="Z35" s="262">
        <v>0</v>
      </c>
      <c r="AA35" s="95">
        <v>0</v>
      </c>
      <c r="AB35" s="42">
        <f t="shared" si="5"/>
        <v>23</v>
      </c>
      <c r="AC35" s="92">
        <v>6</v>
      </c>
      <c r="AD35" s="261">
        <v>0</v>
      </c>
      <c r="AE35" s="93">
        <v>0</v>
      </c>
      <c r="AF35" s="42">
        <f t="shared" si="6"/>
        <v>6</v>
      </c>
      <c r="AG35" s="94">
        <v>44</v>
      </c>
      <c r="AH35" s="262">
        <v>1</v>
      </c>
      <c r="AI35" s="95">
        <v>0</v>
      </c>
      <c r="AJ35" s="42">
        <f t="shared" si="7"/>
        <v>45</v>
      </c>
      <c r="AK35" s="94">
        <v>11</v>
      </c>
      <c r="AL35" s="262">
        <v>0</v>
      </c>
      <c r="AM35" s="95">
        <v>0</v>
      </c>
      <c r="AN35" s="42">
        <f t="shared" si="8"/>
        <v>11</v>
      </c>
      <c r="AO35" s="94">
        <v>3</v>
      </c>
      <c r="AP35" s="262">
        <v>0</v>
      </c>
      <c r="AQ35" s="95">
        <v>0</v>
      </c>
      <c r="AR35" s="42">
        <f t="shared" si="9"/>
        <v>3</v>
      </c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</row>
    <row r="36" spans="2:56" ht="24.95" customHeight="1">
      <c r="B36" s="37">
        <f t="shared" ref="B36:B42" si="37">+D35</f>
        <v>0.61458334166666662</v>
      </c>
      <c r="C36" s="38" t="s">
        <v>9</v>
      </c>
      <c r="D36" s="39">
        <f t="shared" si="36"/>
        <v>0.6250000166666666</v>
      </c>
      <c r="E36" s="94">
        <v>5</v>
      </c>
      <c r="F36" s="262">
        <v>1</v>
      </c>
      <c r="G36" s="95">
        <v>0</v>
      </c>
      <c r="H36" s="42">
        <f t="shared" si="0"/>
        <v>6</v>
      </c>
      <c r="I36" s="94">
        <v>75</v>
      </c>
      <c r="J36" s="262">
        <v>1</v>
      </c>
      <c r="K36" s="95">
        <v>3</v>
      </c>
      <c r="L36" s="42">
        <f t="shared" si="1"/>
        <v>79</v>
      </c>
      <c r="M36" s="94">
        <v>66</v>
      </c>
      <c r="N36" s="262">
        <v>1</v>
      </c>
      <c r="O36" s="95">
        <v>1</v>
      </c>
      <c r="P36" s="42">
        <f t="shared" si="2"/>
        <v>68</v>
      </c>
      <c r="Q36" s="94">
        <v>24</v>
      </c>
      <c r="R36" s="262">
        <v>0</v>
      </c>
      <c r="S36" s="95">
        <v>0</v>
      </c>
      <c r="T36" s="42">
        <f t="shared" si="3"/>
        <v>24</v>
      </c>
      <c r="U36" s="94">
        <v>7</v>
      </c>
      <c r="V36" s="262">
        <v>0</v>
      </c>
      <c r="W36" s="95">
        <v>0</v>
      </c>
      <c r="X36" s="42">
        <f t="shared" si="4"/>
        <v>7</v>
      </c>
      <c r="Y36" s="94">
        <v>21</v>
      </c>
      <c r="Z36" s="262">
        <v>1</v>
      </c>
      <c r="AA36" s="95">
        <v>0</v>
      </c>
      <c r="AB36" s="42">
        <f t="shared" si="5"/>
        <v>22</v>
      </c>
      <c r="AC36" s="94">
        <v>4</v>
      </c>
      <c r="AD36" s="262">
        <v>0</v>
      </c>
      <c r="AE36" s="95">
        <v>0</v>
      </c>
      <c r="AF36" s="42">
        <f t="shared" si="6"/>
        <v>4</v>
      </c>
      <c r="AG36" s="94">
        <v>45</v>
      </c>
      <c r="AH36" s="262">
        <v>2</v>
      </c>
      <c r="AI36" s="95">
        <v>0</v>
      </c>
      <c r="AJ36" s="42">
        <f t="shared" si="7"/>
        <v>47</v>
      </c>
      <c r="AK36" s="94">
        <v>8</v>
      </c>
      <c r="AL36" s="262">
        <v>0</v>
      </c>
      <c r="AM36" s="95">
        <v>0</v>
      </c>
      <c r="AN36" s="42">
        <f t="shared" si="8"/>
        <v>8</v>
      </c>
      <c r="AO36" s="94">
        <v>0</v>
      </c>
      <c r="AP36" s="262">
        <v>0</v>
      </c>
      <c r="AQ36" s="95">
        <v>0</v>
      </c>
      <c r="AR36" s="42">
        <f t="shared" si="9"/>
        <v>0</v>
      </c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</row>
    <row r="37" spans="2:56" ht="24.95" customHeight="1">
      <c r="B37" s="37">
        <f t="shared" si="37"/>
        <v>0.6250000166666666</v>
      </c>
      <c r="C37" s="38" t="s">
        <v>9</v>
      </c>
      <c r="D37" s="39">
        <f t="shared" si="36"/>
        <v>0.63541669166666659</v>
      </c>
      <c r="E37" s="94">
        <v>2</v>
      </c>
      <c r="F37" s="262">
        <v>0</v>
      </c>
      <c r="G37" s="95">
        <v>0</v>
      </c>
      <c r="H37" s="42">
        <f t="shared" si="0"/>
        <v>2</v>
      </c>
      <c r="I37" s="94">
        <v>49</v>
      </c>
      <c r="J37" s="262">
        <v>0</v>
      </c>
      <c r="K37" s="95">
        <v>4</v>
      </c>
      <c r="L37" s="42">
        <f t="shared" si="1"/>
        <v>53</v>
      </c>
      <c r="M37" s="94">
        <v>66</v>
      </c>
      <c r="N37" s="262">
        <v>1</v>
      </c>
      <c r="O37" s="95">
        <v>0</v>
      </c>
      <c r="P37" s="42">
        <f t="shared" si="2"/>
        <v>67</v>
      </c>
      <c r="Q37" s="94">
        <v>37</v>
      </c>
      <c r="R37" s="262">
        <v>1</v>
      </c>
      <c r="S37" s="95">
        <v>0</v>
      </c>
      <c r="T37" s="42">
        <f t="shared" si="3"/>
        <v>38</v>
      </c>
      <c r="U37" s="94">
        <v>0</v>
      </c>
      <c r="V37" s="262">
        <v>0</v>
      </c>
      <c r="W37" s="95">
        <v>0</v>
      </c>
      <c r="X37" s="42">
        <f t="shared" si="4"/>
        <v>0</v>
      </c>
      <c r="Y37" s="94">
        <v>27</v>
      </c>
      <c r="Z37" s="262">
        <v>0</v>
      </c>
      <c r="AA37" s="95">
        <v>0</v>
      </c>
      <c r="AB37" s="42">
        <f t="shared" si="5"/>
        <v>27</v>
      </c>
      <c r="AC37" s="94">
        <v>7</v>
      </c>
      <c r="AD37" s="262">
        <v>0</v>
      </c>
      <c r="AE37" s="95">
        <v>0</v>
      </c>
      <c r="AF37" s="42">
        <f t="shared" si="6"/>
        <v>7</v>
      </c>
      <c r="AG37" s="94">
        <v>65</v>
      </c>
      <c r="AH37" s="262">
        <v>1</v>
      </c>
      <c r="AI37" s="95">
        <v>0</v>
      </c>
      <c r="AJ37" s="42">
        <f t="shared" si="7"/>
        <v>66</v>
      </c>
      <c r="AK37" s="94">
        <v>14</v>
      </c>
      <c r="AL37" s="262">
        <v>0</v>
      </c>
      <c r="AM37" s="95">
        <v>0</v>
      </c>
      <c r="AN37" s="42">
        <f t="shared" si="8"/>
        <v>14</v>
      </c>
      <c r="AO37" s="94">
        <v>2</v>
      </c>
      <c r="AP37" s="262">
        <v>0</v>
      </c>
      <c r="AQ37" s="95">
        <v>0</v>
      </c>
      <c r="AR37" s="42">
        <f t="shared" si="9"/>
        <v>2</v>
      </c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</row>
    <row r="38" spans="2:56" ht="24.95" customHeight="1">
      <c r="B38" s="37">
        <f t="shared" si="37"/>
        <v>0.63541669166666659</v>
      </c>
      <c r="C38" s="38" t="s">
        <v>9</v>
      </c>
      <c r="D38" s="39">
        <f t="shared" si="36"/>
        <v>0.64583336666666658</v>
      </c>
      <c r="E38" s="94">
        <v>3</v>
      </c>
      <c r="F38" s="262">
        <v>0</v>
      </c>
      <c r="G38" s="95">
        <v>0</v>
      </c>
      <c r="H38" s="42">
        <f t="shared" si="0"/>
        <v>3</v>
      </c>
      <c r="I38" s="94">
        <v>53</v>
      </c>
      <c r="J38" s="262">
        <v>0</v>
      </c>
      <c r="K38" s="95">
        <v>4</v>
      </c>
      <c r="L38" s="42">
        <f t="shared" si="1"/>
        <v>57</v>
      </c>
      <c r="M38" s="94">
        <v>79</v>
      </c>
      <c r="N38" s="262">
        <v>0</v>
      </c>
      <c r="O38" s="95">
        <v>0</v>
      </c>
      <c r="P38" s="42">
        <f t="shared" si="2"/>
        <v>79</v>
      </c>
      <c r="Q38" s="94">
        <v>22</v>
      </c>
      <c r="R38" s="262">
        <v>2</v>
      </c>
      <c r="S38" s="95">
        <v>0</v>
      </c>
      <c r="T38" s="42">
        <f t="shared" si="3"/>
        <v>24</v>
      </c>
      <c r="U38" s="94">
        <v>1</v>
      </c>
      <c r="V38" s="262">
        <v>0</v>
      </c>
      <c r="W38" s="95">
        <v>0</v>
      </c>
      <c r="X38" s="42">
        <f t="shared" si="4"/>
        <v>1</v>
      </c>
      <c r="Y38" s="94">
        <v>16</v>
      </c>
      <c r="Z38" s="262">
        <v>0</v>
      </c>
      <c r="AA38" s="95">
        <v>0</v>
      </c>
      <c r="AB38" s="42">
        <f t="shared" si="5"/>
        <v>16</v>
      </c>
      <c r="AC38" s="94">
        <v>13</v>
      </c>
      <c r="AD38" s="262">
        <v>0</v>
      </c>
      <c r="AE38" s="95">
        <v>0</v>
      </c>
      <c r="AF38" s="42">
        <f t="shared" si="6"/>
        <v>13</v>
      </c>
      <c r="AG38" s="94">
        <v>39</v>
      </c>
      <c r="AH38" s="262">
        <v>0</v>
      </c>
      <c r="AI38" s="95">
        <v>0</v>
      </c>
      <c r="AJ38" s="42">
        <f t="shared" si="7"/>
        <v>39</v>
      </c>
      <c r="AK38" s="94">
        <v>21</v>
      </c>
      <c r="AL38" s="262">
        <v>0</v>
      </c>
      <c r="AM38" s="95">
        <v>0</v>
      </c>
      <c r="AN38" s="42">
        <f t="shared" si="8"/>
        <v>21</v>
      </c>
      <c r="AO38" s="94">
        <v>2</v>
      </c>
      <c r="AP38" s="262">
        <v>0</v>
      </c>
      <c r="AQ38" s="95">
        <v>0</v>
      </c>
      <c r="AR38" s="42">
        <f t="shared" si="9"/>
        <v>2</v>
      </c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</row>
    <row r="39" spans="2:56" ht="24.95" customHeight="1">
      <c r="B39" s="37">
        <f t="shared" si="37"/>
        <v>0.64583336666666658</v>
      </c>
      <c r="C39" s="38" t="s">
        <v>9</v>
      </c>
      <c r="D39" s="39">
        <f t="shared" si="36"/>
        <v>0.65625004166666656</v>
      </c>
      <c r="E39" s="94">
        <v>4</v>
      </c>
      <c r="F39" s="262">
        <v>0</v>
      </c>
      <c r="G39" s="95">
        <v>0</v>
      </c>
      <c r="H39" s="42">
        <f t="shared" si="0"/>
        <v>4</v>
      </c>
      <c r="I39" s="94">
        <v>64</v>
      </c>
      <c r="J39" s="262">
        <v>1</v>
      </c>
      <c r="K39" s="95">
        <v>4</v>
      </c>
      <c r="L39" s="42">
        <f t="shared" si="1"/>
        <v>69</v>
      </c>
      <c r="M39" s="94">
        <v>89</v>
      </c>
      <c r="N39" s="262">
        <v>0</v>
      </c>
      <c r="O39" s="95">
        <v>0</v>
      </c>
      <c r="P39" s="42">
        <f t="shared" si="2"/>
        <v>89</v>
      </c>
      <c r="Q39" s="94">
        <v>37</v>
      </c>
      <c r="R39" s="262">
        <v>0</v>
      </c>
      <c r="S39" s="95">
        <v>0</v>
      </c>
      <c r="T39" s="42">
        <f t="shared" si="3"/>
        <v>37</v>
      </c>
      <c r="U39" s="94">
        <v>4</v>
      </c>
      <c r="V39" s="262">
        <v>0</v>
      </c>
      <c r="W39" s="95">
        <v>0</v>
      </c>
      <c r="X39" s="42">
        <f t="shared" si="4"/>
        <v>4</v>
      </c>
      <c r="Y39" s="94">
        <v>19</v>
      </c>
      <c r="Z39" s="262">
        <v>0</v>
      </c>
      <c r="AA39" s="95">
        <v>0</v>
      </c>
      <c r="AB39" s="42">
        <f t="shared" si="5"/>
        <v>19</v>
      </c>
      <c r="AC39" s="94">
        <v>7</v>
      </c>
      <c r="AD39" s="262">
        <v>0</v>
      </c>
      <c r="AE39" s="95">
        <v>0</v>
      </c>
      <c r="AF39" s="42">
        <f t="shared" si="6"/>
        <v>7</v>
      </c>
      <c r="AG39" s="94">
        <v>49</v>
      </c>
      <c r="AH39" s="262">
        <v>3</v>
      </c>
      <c r="AI39" s="95">
        <v>0</v>
      </c>
      <c r="AJ39" s="42">
        <f t="shared" si="7"/>
        <v>52</v>
      </c>
      <c r="AK39" s="94">
        <v>15</v>
      </c>
      <c r="AL39" s="262">
        <v>0</v>
      </c>
      <c r="AM39" s="95">
        <v>0</v>
      </c>
      <c r="AN39" s="42">
        <f t="shared" si="8"/>
        <v>15</v>
      </c>
      <c r="AO39" s="94">
        <v>0</v>
      </c>
      <c r="AP39" s="262">
        <v>0</v>
      </c>
      <c r="AQ39" s="95">
        <v>0</v>
      </c>
      <c r="AR39" s="42">
        <f t="shared" si="9"/>
        <v>0</v>
      </c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</row>
    <row r="40" spans="2:56" ht="24.95" customHeight="1">
      <c r="B40" s="37">
        <f t="shared" si="37"/>
        <v>0.65625004166666656</v>
      </c>
      <c r="C40" s="38" t="s">
        <v>9</v>
      </c>
      <c r="D40" s="39">
        <f t="shared" si="36"/>
        <v>0.66666671666666655</v>
      </c>
      <c r="E40" s="94">
        <v>5</v>
      </c>
      <c r="F40" s="262">
        <v>0</v>
      </c>
      <c r="G40" s="95">
        <v>0</v>
      </c>
      <c r="H40" s="42">
        <f t="shared" si="0"/>
        <v>5</v>
      </c>
      <c r="I40" s="94">
        <v>37</v>
      </c>
      <c r="J40" s="262">
        <v>0</v>
      </c>
      <c r="K40" s="95">
        <v>4</v>
      </c>
      <c r="L40" s="42">
        <f t="shared" si="1"/>
        <v>41</v>
      </c>
      <c r="M40" s="94">
        <v>68</v>
      </c>
      <c r="N40" s="262">
        <v>2</v>
      </c>
      <c r="O40" s="95">
        <v>0</v>
      </c>
      <c r="P40" s="42">
        <f t="shared" si="2"/>
        <v>70</v>
      </c>
      <c r="Q40" s="94">
        <v>31</v>
      </c>
      <c r="R40" s="262">
        <v>0</v>
      </c>
      <c r="S40" s="95">
        <v>0</v>
      </c>
      <c r="T40" s="42">
        <f t="shared" si="3"/>
        <v>31</v>
      </c>
      <c r="U40" s="94">
        <v>0</v>
      </c>
      <c r="V40" s="262">
        <v>0</v>
      </c>
      <c r="W40" s="95">
        <v>0</v>
      </c>
      <c r="X40" s="42">
        <f t="shared" si="4"/>
        <v>0</v>
      </c>
      <c r="Y40" s="94">
        <v>14</v>
      </c>
      <c r="Z40" s="262">
        <v>0</v>
      </c>
      <c r="AA40" s="95">
        <v>0</v>
      </c>
      <c r="AB40" s="42">
        <f t="shared" si="5"/>
        <v>14</v>
      </c>
      <c r="AC40" s="94">
        <v>13</v>
      </c>
      <c r="AD40" s="262">
        <v>0</v>
      </c>
      <c r="AE40" s="95">
        <v>0</v>
      </c>
      <c r="AF40" s="42">
        <f t="shared" si="6"/>
        <v>13</v>
      </c>
      <c r="AG40" s="94">
        <v>25</v>
      </c>
      <c r="AH40" s="262">
        <v>0</v>
      </c>
      <c r="AI40" s="95">
        <v>0</v>
      </c>
      <c r="AJ40" s="42">
        <f t="shared" si="7"/>
        <v>25</v>
      </c>
      <c r="AK40" s="94">
        <v>19</v>
      </c>
      <c r="AL40" s="262">
        <v>0</v>
      </c>
      <c r="AM40" s="95">
        <v>0</v>
      </c>
      <c r="AN40" s="42">
        <f t="shared" si="8"/>
        <v>19</v>
      </c>
      <c r="AO40" s="94">
        <v>0</v>
      </c>
      <c r="AP40" s="262">
        <v>0</v>
      </c>
      <c r="AQ40" s="95">
        <v>0</v>
      </c>
      <c r="AR40" s="42">
        <f t="shared" si="9"/>
        <v>0</v>
      </c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</row>
    <row r="41" spans="2:56" ht="24.95" customHeight="1">
      <c r="B41" s="37">
        <f t="shared" si="37"/>
        <v>0.66666671666666655</v>
      </c>
      <c r="C41" s="38" t="s">
        <v>9</v>
      </c>
      <c r="D41" s="39">
        <f t="shared" si="36"/>
        <v>0.67708339166666653</v>
      </c>
      <c r="E41" s="94">
        <v>2</v>
      </c>
      <c r="F41" s="262">
        <v>0</v>
      </c>
      <c r="G41" s="95">
        <v>0</v>
      </c>
      <c r="H41" s="42">
        <f t="shared" si="0"/>
        <v>2</v>
      </c>
      <c r="I41" s="94">
        <v>64</v>
      </c>
      <c r="J41" s="262">
        <v>1</v>
      </c>
      <c r="K41" s="95">
        <v>5</v>
      </c>
      <c r="L41" s="42">
        <f t="shared" si="1"/>
        <v>70</v>
      </c>
      <c r="M41" s="94">
        <v>84</v>
      </c>
      <c r="N41" s="262">
        <v>0</v>
      </c>
      <c r="O41" s="95">
        <v>0</v>
      </c>
      <c r="P41" s="42">
        <f t="shared" si="2"/>
        <v>84</v>
      </c>
      <c r="Q41" s="94">
        <v>23</v>
      </c>
      <c r="R41" s="262">
        <v>1</v>
      </c>
      <c r="S41" s="95">
        <v>0</v>
      </c>
      <c r="T41" s="42">
        <f t="shared" si="3"/>
        <v>24</v>
      </c>
      <c r="U41" s="94">
        <v>2</v>
      </c>
      <c r="V41" s="262">
        <v>0</v>
      </c>
      <c r="W41" s="95">
        <v>0</v>
      </c>
      <c r="X41" s="42">
        <f t="shared" si="4"/>
        <v>2</v>
      </c>
      <c r="Y41" s="94">
        <v>14</v>
      </c>
      <c r="Z41" s="262">
        <v>2</v>
      </c>
      <c r="AA41" s="95">
        <v>0</v>
      </c>
      <c r="AB41" s="42">
        <f t="shared" si="5"/>
        <v>16</v>
      </c>
      <c r="AC41" s="94">
        <v>10</v>
      </c>
      <c r="AD41" s="262">
        <v>0</v>
      </c>
      <c r="AE41" s="95">
        <v>0</v>
      </c>
      <c r="AF41" s="42">
        <f t="shared" si="6"/>
        <v>10</v>
      </c>
      <c r="AG41" s="94">
        <v>27</v>
      </c>
      <c r="AH41" s="262">
        <v>0</v>
      </c>
      <c r="AI41" s="95">
        <v>0</v>
      </c>
      <c r="AJ41" s="42">
        <f t="shared" si="7"/>
        <v>27</v>
      </c>
      <c r="AK41" s="94">
        <v>5</v>
      </c>
      <c r="AL41" s="262">
        <v>0</v>
      </c>
      <c r="AM41" s="95">
        <v>0</v>
      </c>
      <c r="AN41" s="42">
        <f t="shared" si="8"/>
        <v>5</v>
      </c>
      <c r="AO41" s="94">
        <v>3</v>
      </c>
      <c r="AP41" s="262">
        <v>0</v>
      </c>
      <c r="AQ41" s="95">
        <v>0</v>
      </c>
      <c r="AR41" s="42">
        <f t="shared" si="9"/>
        <v>3</v>
      </c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</row>
    <row r="42" spans="2:56" ht="24.95" customHeight="1">
      <c r="B42" s="37">
        <f t="shared" si="37"/>
        <v>0.67708339166666653</v>
      </c>
      <c r="C42" s="38" t="s">
        <v>9</v>
      </c>
      <c r="D42" s="47">
        <f t="shared" si="36"/>
        <v>0.68750006666666652</v>
      </c>
      <c r="E42" s="94">
        <v>6</v>
      </c>
      <c r="F42" s="262">
        <v>0</v>
      </c>
      <c r="G42" s="95">
        <v>0</v>
      </c>
      <c r="H42" s="42">
        <f t="shared" si="0"/>
        <v>6</v>
      </c>
      <c r="I42" s="94">
        <v>58</v>
      </c>
      <c r="J42" s="262">
        <v>0</v>
      </c>
      <c r="K42" s="95">
        <v>2</v>
      </c>
      <c r="L42" s="42">
        <f t="shared" si="1"/>
        <v>60</v>
      </c>
      <c r="M42" s="94">
        <v>71</v>
      </c>
      <c r="N42" s="262">
        <v>0</v>
      </c>
      <c r="O42" s="95">
        <v>0</v>
      </c>
      <c r="P42" s="42">
        <f t="shared" si="2"/>
        <v>71</v>
      </c>
      <c r="Q42" s="94">
        <v>18</v>
      </c>
      <c r="R42" s="262">
        <v>1</v>
      </c>
      <c r="S42" s="95">
        <v>0</v>
      </c>
      <c r="T42" s="42">
        <f t="shared" si="3"/>
        <v>19</v>
      </c>
      <c r="U42" s="94">
        <v>1</v>
      </c>
      <c r="V42" s="262">
        <v>0</v>
      </c>
      <c r="W42" s="95">
        <v>0</v>
      </c>
      <c r="X42" s="42">
        <f t="shared" si="4"/>
        <v>1</v>
      </c>
      <c r="Y42" s="94">
        <v>19</v>
      </c>
      <c r="Z42" s="262">
        <v>0</v>
      </c>
      <c r="AA42" s="95">
        <v>0</v>
      </c>
      <c r="AB42" s="42">
        <f t="shared" si="5"/>
        <v>19</v>
      </c>
      <c r="AC42" s="94">
        <v>7</v>
      </c>
      <c r="AD42" s="262">
        <v>0</v>
      </c>
      <c r="AE42" s="95">
        <v>0</v>
      </c>
      <c r="AF42" s="42">
        <f t="shared" si="6"/>
        <v>7</v>
      </c>
      <c r="AG42" s="94">
        <v>29</v>
      </c>
      <c r="AH42" s="262">
        <v>0</v>
      </c>
      <c r="AI42" s="95">
        <v>0</v>
      </c>
      <c r="AJ42" s="42">
        <f t="shared" si="7"/>
        <v>29</v>
      </c>
      <c r="AK42" s="94">
        <v>10</v>
      </c>
      <c r="AL42" s="262">
        <v>0</v>
      </c>
      <c r="AM42" s="95">
        <v>0</v>
      </c>
      <c r="AN42" s="42">
        <f t="shared" si="8"/>
        <v>10</v>
      </c>
      <c r="AO42" s="94">
        <v>0</v>
      </c>
      <c r="AP42" s="262">
        <v>0</v>
      </c>
      <c r="AQ42" s="95">
        <v>0</v>
      </c>
      <c r="AR42" s="42">
        <f t="shared" si="9"/>
        <v>0</v>
      </c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</row>
    <row r="43" spans="2:56" ht="24.95" customHeight="1">
      <c r="B43" s="37">
        <f t="shared" ref="B43:B44" si="38">+D42</f>
        <v>0.68750006666666652</v>
      </c>
      <c r="C43" s="38" t="s">
        <v>9</v>
      </c>
      <c r="D43" s="47">
        <f t="shared" ref="D43:D44" si="39">SUM(0.0416667/4)+B43</f>
        <v>0.69791674166666651</v>
      </c>
      <c r="E43" s="94">
        <v>7</v>
      </c>
      <c r="F43" s="262">
        <v>0</v>
      </c>
      <c r="G43" s="95">
        <v>0</v>
      </c>
      <c r="H43" s="42">
        <f t="shared" si="0"/>
        <v>7</v>
      </c>
      <c r="I43" s="94">
        <v>79</v>
      </c>
      <c r="J43" s="262">
        <v>0</v>
      </c>
      <c r="K43" s="95">
        <v>5</v>
      </c>
      <c r="L43" s="42">
        <f t="shared" si="1"/>
        <v>84</v>
      </c>
      <c r="M43" s="94">
        <v>94</v>
      </c>
      <c r="N43" s="262">
        <v>0</v>
      </c>
      <c r="O43" s="95">
        <v>0</v>
      </c>
      <c r="P43" s="42">
        <f t="shared" si="2"/>
        <v>94</v>
      </c>
      <c r="Q43" s="94">
        <v>23</v>
      </c>
      <c r="R43" s="262">
        <v>0</v>
      </c>
      <c r="S43" s="95">
        <v>0</v>
      </c>
      <c r="T43" s="42">
        <f t="shared" si="3"/>
        <v>23</v>
      </c>
      <c r="U43" s="94">
        <v>3</v>
      </c>
      <c r="V43" s="262">
        <v>0</v>
      </c>
      <c r="W43" s="95">
        <v>0</v>
      </c>
      <c r="X43" s="42">
        <f t="shared" si="4"/>
        <v>3</v>
      </c>
      <c r="Y43" s="94">
        <v>28</v>
      </c>
      <c r="Z43" s="262">
        <v>0</v>
      </c>
      <c r="AA43" s="95">
        <v>0</v>
      </c>
      <c r="AB43" s="42">
        <f t="shared" si="5"/>
        <v>28</v>
      </c>
      <c r="AC43" s="94">
        <v>10</v>
      </c>
      <c r="AD43" s="262">
        <v>0</v>
      </c>
      <c r="AE43" s="95">
        <v>0</v>
      </c>
      <c r="AF43" s="42">
        <f t="shared" si="6"/>
        <v>10</v>
      </c>
      <c r="AG43" s="94">
        <v>30</v>
      </c>
      <c r="AH43" s="262">
        <v>0</v>
      </c>
      <c r="AI43" s="95">
        <v>0</v>
      </c>
      <c r="AJ43" s="42">
        <f t="shared" si="7"/>
        <v>30</v>
      </c>
      <c r="AK43" s="94">
        <v>9</v>
      </c>
      <c r="AL43" s="262">
        <v>0</v>
      </c>
      <c r="AM43" s="95">
        <v>0</v>
      </c>
      <c r="AN43" s="42">
        <f t="shared" si="8"/>
        <v>9</v>
      </c>
      <c r="AO43" s="94">
        <v>2</v>
      </c>
      <c r="AP43" s="262">
        <v>0</v>
      </c>
      <c r="AQ43" s="95">
        <v>0</v>
      </c>
      <c r="AR43" s="42">
        <f t="shared" si="9"/>
        <v>2</v>
      </c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</row>
    <row r="44" spans="2:56" ht="24.95" customHeight="1">
      <c r="B44" s="37">
        <f t="shared" si="38"/>
        <v>0.69791674166666651</v>
      </c>
      <c r="C44" s="38" t="s">
        <v>9</v>
      </c>
      <c r="D44" s="47">
        <f t="shared" si="39"/>
        <v>0.70833341666666649</v>
      </c>
      <c r="E44" s="94">
        <v>5</v>
      </c>
      <c r="F44" s="262">
        <v>0</v>
      </c>
      <c r="G44" s="95">
        <v>0</v>
      </c>
      <c r="H44" s="42">
        <f t="shared" si="0"/>
        <v>5</v>
      </c>
      <c r="I44" s="94">
        <v>63</v>
      </c>
      <c r="J44" s="262">
        <v>0</v>
      </c>
      <c r="K44" s="95">
        <v>2</v>
      </c>
      <c r="L44" s="42">
        <f t="shared" si="1"/>
        <v>65</v>
      </c>
      <c r="M44" s="94">
        <v>81</v>
      </c>
      <c r="N44" s="262">
        <v>0</v>
      </c>
      <c r="O44" s="95">
        <v>0</v>
      </c>
      <c r="P44" s="42">
        <f t="shared" si="2"/>
        <v>81</v>
      </c>
      <c r="Q44" s="94">
        <v>23</v>
      </c>
      <c r="R44" s="262">
        <v>0</v>
      </c>
      <c r="S44" s="95">
        <v>0</v>
      </c>
      <c r="T44" s="42">
        <f t="shared" si="3"/>
        <v>23</v>
      </c>
      <c r="U44" s="94">
        <v>3</v>
      </c>
      <c r="V44" s="262">
        <v>0</v>
      </c>
      <c r="W44" s="95">
        <v>0</v>
      </c>
      <c r="X44" s="42">
        <f t="shared" si="4"/>
        <v>3</v>
      </c>
      <c r="Y44" s="94">
        <v>22</v>
      </c>
      <c r="Z44" s="262">
        <v>0</v>
      </c>
      <c r="AA44" s="95">
        <v>0</v>
      </c>
      <c r="AB44" s="42">
        <f t="shared" si="5"/>
        <v>22</v>
      </c>
      <c r="AC44" s="94">
        <v>9</v>
      </c>
      <c r="AD44" s="262">
        <v>0</v>
      </c>
      <c r="AE44" s="95">
        <v>0</v>
      </c>
      <c r="AF44" s="42">
        <f t="shared" si="6"/>
        <v>9</v>
      </c>
      <c r="AG44" s="94">
        <v>50</v>
      </c>
      <c r="AH44" s="262">
        <v>1</v>
      </c>
      <c r="AI44" s="95">
        <v>0</v>
      </c>
      <c r="AJ44" s="42">
        <f t="shared" si="7"/>
        <v>51</v>
      </c>
      <c r="AK44" s="94">
        <v>13</v>
      </c>
      <c r="AL44" s="262">
        <v>0</v>
      </c>
      <c r="AM44" s="95">
        <v>0</v>
      </c>
      <c r="AN44" s="42">
        <f t="shared" si="8"/>
        <v>13</v>
      </c>
      <c r="AO44" s="94">
        <v>2</v>
      </c>
      <c r="AP44" s="262">
        <v>0</v>
      </c>
      <c r="AQ44" s="95">
        <v>0</v>
      </c>
      <c r="AR44" s="42">
        <f t="shared" si="9"/>
        <v>2</v>
      </c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</row>
    <row r="45" spans="2:56" ht="24.95" customHeight="1">
      <c r="B45" s="37">
        <f t="shared" ref="B45:B50" si="40">+D44</f>
        <v>0.70833341666666649</v>
      </c>
      <c r="C45" s="38" t="s">
        <v>9</v>
      </c>
      <c r="D45" s="47">
        <f t="shared" ref="D45:D50" si="41">SUM(0.0416667/4)+B45</f>
        <v>0.71875009166666648</v>
      </c>
      <c r="E45" s="94">
        <v>6</v>
      </c>
      <c r="F45" s="262">
        <v>0</v>
      </c>
      <c r="G45" s="95">
        <v>0</v>
      </c>
      <c r="H45" s="42">
        <f t="shared" ref="H45:H50" si="42">SUM(E45:G45)</f>
        <v>6</v>
      </c>
      <c r="I45" s="94">
        <v>74</v>
      </c>
      <c r="J45" s="262">
        <v>0</v>
      </c>
      <c r="K45" s="95">
        <v>5</v>
      </c>
      <c r="L45" s="42">
        <f t="shared" ref="L45:L50" si="43">SUM(I45:K45)</f>
        <v>79</v>
      </c>
      <c r="M45" s="94">
        <v>84</v>
      </c>
      <c r="N45" s="262">
        <v>0</v>
      </c>
      <c r="O45" s="95">
        <v>0</v>
      </c>
      <c r="P45" s="42">
        <f t="shared" ref="P45:P50" si="44">SUM(M45:O45)</f>
        <v>84</v>
      </c>
      <c r="Q45" s="94">
        <v>38</v>
      </c>
      <c r="R45" s="262">
        <v>0</v>
      </c>
      <c r="S45" s="95">
        <v>0</v>
      </c>
      <c r="T45" s="42">
        <f t="shared" ref="T45:T50" si="45">SUM(Q45:S45)</f>
        <v>38</v>
      </c>
      <c r="U45" s="94">
        <v>5</v>
      </c>
      <c r="V45" s="262">
        <v>0</v>
      </c>
      <c r="W45" s="95">
        <v>0</v>
      </c>
      <c r="X45" s="42">
        <f t="shared" ref="X45:X50" si="46">SUM(U45:W45)</f>
        <v>5</v>
      </c>
      <c r="Y45" s="94">
        <v>30</v>
      </c>
      <c r="Z45" s="262">
        <v>0</v>
      </c>
      <c r="AA45" s="95">
        <v>0</v>
      </c>
      <c r="AB45" s="42">
        <f t="shared" ref="AB45:AB50" si="47">SUM(Y45:AA45)</f>
        <v>30</v>
      </c>
      <c r="AC45" s="94">
        <v>9</v>
      </c>
      <c r="AD45" s="262">
        <v>0</v>
      </c>
      <c r="AE45" s="95">
        <v>0</v>
      </c>
      <c r="AF45" s="42">
        <f t="shared" ref="AF45:AF50" si="48">SUM(AC45:AE45)</f>
        <v>9</v>
      </c>
      <c r="AG45" s="94">
        <v>39</v>
      </c>
      <c r="AH45" s="262">
        <v>1</v>
      </c>
      <c r="AI45" s="95">
        <v>0</v>
      </c>
      <c r="AJ45" s="42">
        <f t="shared" ref="AJ45:AJ50" si="49">SUM(AG45:AI45)</f>
        <v>40</v>
      </c>
      <c r="AK45" s="94">
        <v>10</v>
      </c>
      <c r="AL45" s="262">
        <v>0</v>
      </c>
      <c r="AM45" s="95">
        <v>0</v>
      </c>
      <c r="AN45" s="42">
        <f t="shared" ref="AN45:AN50" si="50">SUM(AK45:AM45)</f>
        <v>10</v>
      </c>
      <c r="AO45" s="94">
        <v>0</v>
      </c>
      <c r="AP45" s="262">
        <v>0</v>
      </c>
      <c r="AQ45" s="95">
        <v>0</v>
      </c>
      <c r="AR45" s="42">
        <f t="shared" ref="AR45:AR50" si="51">SUM(AO45:AQ45)</f>
        <v>0</v>
      </c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</row>
    <row r="46" spans="2:56" ht="24.95" customHeight="1">
      <c r="B46" s="37">
        <f t="shared" si="40"/>
        <v>0.71875009166666648</v>
      </c>
      <c r="C46" s="38" t="s">
        <v>9</v>
      </c>
      <c r="D46" s="47">
        <f t="shared" si="41"/>
        <v>0.72916676666666647</v>
      </c>
      <c r="E46" s="94">
        <v>3</v>
      </c>
      <c r="F46" s="262">
        <v>0</v>
      </c>
      <c r="G46" s="95">
        <v>0</v>
      </c>
      <c r="H46" s="42">
        <f t="shared" si="42"/>
        <v>3</v>
      </c>
      <c r="I46" s="94">
        <v>61</v>
      </c>
      <c r="J46" s="262">
        <v>0</v>
      </c>
      <c r="K46" s="95">
        <v>4</v>
      </c>
      <c r="L46" s="42">
        <f t="shared" si="43"/>
        <v>65</v>
      </c>
      <c r="M46" s="94">
        <v>74</v>
      </c>
      <c r="N46" s="262">
        <v>0</v>
      </c>
      <c r="O46" s="95">
        <v>0</v>
      </c>
      <c r="P46" s="42">
        <f t="shared" si="44"/>
        <v>74</v>
      </c>
      <c r="Q46" s="94">
        <v>19</v>
      </c>
      <c r="R46" s="262">
        <v>0</v>
      </c>
      <c r="S46" s="95">
        <v>0</v>
      </c>
      <c r="T46" s="42">
        <f t="shared" si="45"/>
        <v>19</v>
      </c>
      <c r="U46" s="94">
        <v>0</v>
      </c>
      <c r="V46" s="262">
        <v>0</v>
      </c>
      <c r="W46" s="95">
        <v>0</v>
      </c>
      <c r="X46" s="42">
        <f t="shared" si="46"/>
        <v>0</v>
      </c>
      <c r="Y46" s="94">
        <v>27</v>
      </c>
      <c r="Z46" s="262">
        <v>0</v>
      </c>
      <c r="AA46" s="95">
        <v>0</v>
      </c>
      <c r="AB46" s="42">
        <f t="shared" si="47"/>
        <v>27</v>
      </c>
      <c r="AC46" s="94">
        <v>10</v>
      </c>
      <c r="AD46" s="262">
        <v>0</v>
      </c>
      <c r="AE46" s="95">
        <v>0</v>
      </c>
      <c r="AF46" s="42">
        <f t="shared" si="48"/>
        <v>10</v>
      </c>
      <c r="AG46" s="94">
        <v>38</v>
      </c>
      <c r="AH46" s="262">
        <v>0</v>
      </c>
      <c r="AI46" s="95">
        <v>0</v>
      </c>
      <c r="AJ46" s="42">
        <f t="shared" si="49"/>
        <v>38</v>
      </c>
      <c r="AK46" s="94">
        <v>10</v>
      </c>
      <c r="AL46" s="262">
        <v>0</v>
      </c>
      <c r="AM46" s="95">
        <v>0</v>
      </c>
      <c r="AN46" s="42">
        <f t="shared" si="50"/>
        <v>10</v>
      </c>
      <c r="AO46" s="94">
        <v>0</v>
      </c>
      <c r="AP46" s="262">
        <v>0</v>
      </c>
      <c r="AQ46" s="95">
        <v>0</v>
      </c>
      <c r="AR46" s="42">
        <f t="shared" si="51"/>
        <v>0</v>
      </c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</row>
    <row r="47" spans="2:56" ht="24.95" customHeight="1">
      <c r="B47" s="37">
        <f t="shared" si="40"/>
        <v>0.72916676666666647</v>
      </c>
      <c r="C47" s="38" t="s">
        <v>9</v>
      </c>
      <c r="D47" s="47">
        <f t="shared" si="41"/>
        <v>0.73958344166666645</v>
      </c>
      <c r="E47" s="94">
        <v>1</v>
      </c>
      <c r="F47" s="262">
        <v>0</v>
      </c>
      <c r="G47" s="95">
        <v>0</v>
      </c>
      <c r="H47" s="42">
        <f t="shared" si="42"/>
        <v>1</v>
      </c>
      <c r="I47" s="94">
        <v>46</v>
      </c>
      <c r="J47" s="262">
        <v>1</v>
      </c>
      <c r="K47" s="95">
        <v>5</v>
      </c>
      <c r="L47" s="42">
        <f t="shared" si="43"/>
        <v>52</v>
      </c>
      <c r="M47" s="94">
        <v>69</v>
      </c>
      <c r="N47" s="262">
        <v>1</v>
      </c>
      <c r="O47" s="95">
        <v>0</v>
      </c>
      <c r="P47" s="42">
        <f t="shared" si="44"/>
        <v>70</v>
      </c>
      <c r="Q47" s="94">
        <v>23</v>
      </c>
      <c r="R47" s="262">
        <v>0</v>
      </c>
      <c r="S47" s="95">
        <v>0</v>
      </c>
      <c r="T47" s="42">
        <f t="shared" si="45"/>
        <v>23</v>
      </c>
      <c r="U47" s="94">
        <v>6</v>
      </c>
      <c r="V47" s="262">
        <v>0</v>
      </c>
      <c r="W47" s="95">
        <v>0</v>
      </c>
      <c r="X47" s="42">
        <f t="shared" si="46"/>
        <v>6</v>
      </c>
      <c r="Y47" s="94">
        <v>23</v>
      </c>
      <c r="Z47" s="262">
        <v>1</v>
      </c>
      <c r="AA47" s="95">
        <v>0</v>
      </c>
      <c r="AB47" s="42">
        <f t="shared" si="47"/>
        <v>24</v>
      </c>
      <c r="AC47" s="94">
        <v>13</v>
      </c>
      <c r="AD47" s="262">
        <v>0</v>
      </c>
      <c r="AE47" s="95">
        <v>0</v>
      </c>
      <c r="AF47" s="42">
        <f t="shared" si="48"/>
        <v>13</v>
      </c>
      <c r="AG47" s="94">
        <v>34</v>
      </c>
      <c r="AH47" s="262">
        <v>0</v>
      </c>
      <c r="AI47" s="95">
        <v>0</v>
      </c>
      <c r="AJ47" s="42">
        <f t="shared" si="49"/>
        <v>34</v>
      </c>
      <c r="AK47" s="94">
        <v>10</v>
      </c>
      <c r="AL47" s="262">
        <v>0</v>
      </c>
      <c r="AM47" s="95">
        <v>0</v>
      </c>
      <c r="AN47" s="42">
        <f t="shared" si="50"/>
        <v>10</v>
      </c>
      <c r="AO47" s="94">
        <v>1</v>
      </c>
      <c r="AP47" s="262">
        <v>0</v>
      </c>
      <c r="AQ47" s="95">
        <v>0</v>
      </c>
      <c r="AR47" s="42">
        <f t="shared" si="51"/>
        <v>1</v>
      </c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</row>
    <row r="48" spans="2:56" ht="24.95" customHeight="1">
      <c r="B48" s="37">
        <f t="shared" si="40"/>
        <v>0.73958344166666645</v>
      </c>
      <c r="C48" s="38" t="s">
        <v>9</v>
      </c>
      <c r="D48" s="47">
        <f t="shared" si="41"/>
        <v>0.75000011666666644</v>
      </c>
      <c r="E48" s="94">
        <v>4</v>
      </c>
      <c r="F48" s="262">
        <v>0</v>
      </c>
      <c r="G48" s="95">
        <v>0</v>
      </c>
      <c r="H48" s="42">
        <f t="shared" si="42"/>
        <v>4</v>
      </c>
      <c r="I48" s="94">
        <v>61</v>
      </c>
      <c r="J48" s="262">
        <v>0</v>
      </c>
      <c r="K48" s="95">
        <v>4</v>
      </c>
      <c r="L48" s="42">
        <f t="shared" si="43"/>
        <v>65</v>
      </c>
      <c r="M48" s="94">
        <v>71</v>
      </c>
      <c r="N48" s="262">
        <v>0</v>
      </c>
      <c r="O48" s="95">
        <v>0</v>
      </c>
      <c r="P48" s="42">
        <f t="shared" si="44"/>
        <v>71</v>
      </c>
      <c r="Q48" s="94">
        <v>28</v>
      </c>
      <c r="R48" s="262">
        <v>0</v>
      </c>
      <c r="S48" s="95">
        <v>0</v>
      </c>
      <c r="T48" s="42">
        <f t="shared" si="45"/>
        <v>28</v>
      </c>
      <c r="U48" s="94">
        <v>0</v>
      </c>
      <c r="V48" s="262">
        <v>0</v>
      </c>
      <c r="W48" s="95">
        <v>0</v>
      </c>
      <c r="X48" s="42">
        <f t="shared" si="46"/>
        <v>0</v>
      </c>
      <c r="Y48" s="94">
        <v>25</v>
      </c>
      <c r="Z48" s="262">
        <v>0</v>
      </c>
      <c r="AA48" s="95">
        <v>0</v>
      </c>
      <c r="AB48" s="42">
        <f t="shared" si="47"/>
        <v>25</v>
      </c>
      <c r="AC48" s="94">
        <v>4</v>
      </c>
      <c r="AD48" s="262">
        <v>0</v>
      </c>
      <c r="AE48" s="95">
        <v>0</v>
      </c>
      <c r="AF48" s="42">
        <f t="shared" si="48"/>
        <v>4</v>
      </c>
      <c r="AG48" s="94">
        <v>32</v>
      </c>
      <c r="AH48" s="262">
        <v>1</v>
      </c>
      <c r="AI48" s="95">
        <v>0</v>
      </c>
      <c r="AJ48" s="42">
        <f t="shared" si="49"/>
        <v>33</v>
      </c>
      <c r="AK48" s="94">
        <v>7</v>
      </c>
      <c r="AL48" s="262">
        <v>0</v>
      </c>
      <c r="AM48" s="95">
        <v>0</v>
      </c>
      <c r="AN48" s="42">
        <f t="shared" si="50"/>
        <v>7</v>
      </c>
      <c r="AO48" s="94">
        <v>0</v>
      </c>
      <c r="AP48" s="262">
        <v>0</v>
      </c>
      <c r="AQ48" s="95">
        <v>0</v>
      </c>
      <c r="AR48" s="42">
        <f t="shared" si="51"/>
        <v>0</v>
      </c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</row>
    <row r="49" spans="2:73" ht="24.95" customHeight="1">
      <c r="B49" s="37">
        <f t="shared" si="40"/>
        <v>0.75000011666666644</v>
      </c>
      <c r="C49" s="38" t="s">
        <v>9</v>
      </c>
      <c r="D49" s="47">
        <f t="shared" si="41"/>
        <v>0.76041679166666643</v>
      </c>
      <c r="E49" s="94">
        <v>5</v>
      </c>
      <c r="F49" s="262">
        <v>0</v>
      </c>
      <c r="G49" s="95">
        <v>0</v>
      </c>
      <c r="H49" s="42">
        <f t="shared" si="42"/>
        <v>5</v>
      </c>
      <c r="I49" s="94">
        <v>74</v>
      </c>
      <c r="J49" s="262">
        <v>0</v>
      </c>
      <c r="K49" s="95">
        <v>4</v>
      </c>
      <c r="L49" s="42">
        <f t="shared" si="43"/>
        <v>78</v>
      </c>
      <c r="M49" s="94">
        <v>67</v>
      </c>
      <c r="N49" s="262">
        <v>0</v>
      </c>
      <c r="O49" s="95">
        <v>0</v>
      </c>
      <c r="P49" s="42">
        <f t="shared" si="44"/>
        <v>67</v>
      </c>
      <c r="Q49" s="94">
        <v>29</v>
      </c>
      <c r="R49" s="262">
        <v>0</v>
      </c>
      <c r="S49" s="95">
        <v>0</v>
      </c>
      <c r="T49" s="42">
        <f t="shared" si="45"/>
        <v>29</v>
      </c>
      <c r="U49" s="94">
        <v>2</v>
      </c>
      <c r="V49" s="262">
        <v>0</v>
      </c>
      <c r="W49" s="95">
        <v>0</v>
      </c>
      <c r="X49" s="42">
        <f t="shared" si="46"/>
        <v>2</v>
      </c>
      <c r="Y49" s="94">
        <v>14</v>
      </c>
      <c r="Z49" s="262">
        <v>0</v>
      </c>
      <c r="AA49" s="95">
        <v>0</v>
      </c>
      <c r="AB49" s="42">
        <f t="shared" si="47"/>
        <v>14</v>
      </c>
      <c r="AC49" s="94">
        <v>13</v>
      </c>
      <c r="AD49" s="262">
        <v>0</v>
      </c>
      <c r="AE49" s="95">
        <v>0</v>
      </c>
      <c r="AF49" s="42">
        <f t="shared" si="48"/>
        <v>13</v>
      </c>
      <c r="AG49" s="94">
        <v>25</v>
      </c>
      <c r="AH49" s="262">
        <v>0</v>
      </c>
      <c r="AI49" s="95">
        <v>0</v>
      </c>
      <c r="AJ49" s="42">
        <f t="shared" si="49"/>
        <v>25</v>
      </c>
      <c r="AK49" s="94">
        <v>12</v>
      </c>
      <c r="AL49" s="262">
        <v>0</v>
      </c>
      <c r="AM49" s="95">
        <v>0</v>
      </c>
      <c r="AN49" s="42">
        <f t="shared" si="50"/>
        <v>12</v>
      </c>
      <c r="AO49" s="94">
        <v>1</v>
      </c>
      <c r="AP49" s="262">
        <v>0</v>
      </c>
      <c r="AQ49" s="95">
        <v>0</v>
      </c>
      <c r="AR49" s="42">
        <f t="shared" si="51"/>
        <v>1</v>
      </c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</row>
    <row r="50" spans="2:73" ht="24.95" customHeight="1" thickBot="1">
      <c r="B50" s="37">
        <f t="shared" si="40"/>
        <v>0.76041679166666643</v>
      </c>
      <c r="C50" s="38" t="s">
        <v>9</v>
      </c>
      <c r="D50" s="47">
        <f t="shared" si="41"/>
        <v>0.77083346666666641</v>
      </c>
      <c r="E50" s="94">
        <v>3</v>
      </c>
      <c r="F50" s="262">
        <v>0</v>
      </c>
      <c r="G50" s="95">
        <v>0</v>
      </c>
      <c r="H50" s="42">
        <f t="shared" si="42"/>
        <v>3</v>
      </c>
      <c r="I50" s="94">
        <v>51</v>
      </c>
      <c r="J50" s="262">
        <v>0</v>
      </c>
      <c r="K50" s="95">
        <v>3</v>
      </c>
      <c r="L50" s="42">
        <f t="shared" si="43"/>
        <v>54</v>
      </c>
      <c r="M50" s="94">
        <v>68</v>
      </c>
      <c r="N50" s="262">
        <v>0</v>
      </c>
      <c r="O50" s="95">
        <v>0</v>
      </c>
      <c r="P50" s="42">
        <f t="shared" si="44"/>
        <v>68</v>
      </c>
      <c r="Q50" s="94">
        <v>29</v>
      </c>
      <c r="R50" s="262">
        <v>0</v>
      </c>
      <c r="S50" s="95">
        <v>0</v>
      </c>
      <c r="T50" s="42">
        <f t="shared" si="45"/>
        <v>29</v>
      </c>
      <c r="U50" s="94">
        <v>4</v>
      </c>
      <c r="V50" s="262">
        <v>0</v>
      </c>
      <c r="W50" s="95">
        <v>0</v>
      </c>
      <c r="X50" s="42">
        <f t="shared" si="46"/>
        <v>4</v>
      </c>
      <c r="Y50" s="94">
        <v>18</v>
      </c>
      <c r="Z50" s="262">
        <v>0</v>
      </c>
      <c r="AA50" s="95">
        <v>0</v>
      </c>
      <c r="AB50" s="42">
        <f t="shared" si="47"/>
        <v>18</v>
      </c>
      <c r="AC50" s="94">
        <v>9</v>
      </c>
      <c r="AD50" s="262">
        <v>0</v>
      </c>
      <c r="AE50" s="95">
        <v>0</v>
      </c>
      <c r="AF50" s="42">
        <f t="shared" si="48"/>
        <v>9</v>
      </c>
      <c r="AG50" s="94">
        <v>38</v>
      </c>
      <c r="AH50" s="262">
        <v>0</v>
      </c>
      <c r="AI50" s="95">
        <v>0</v>
      </c>
      <c r="AJ50" s="42">
        <f t="shared" si="49"/>
        <v>38</v>
      </c>
      <c r="AK50" s="94">
        <v>8</v>
      </c>
      <c r="AL50" s="262">
        <v>0</v>
      </c>
      <c r="AM50" s="95">
        <v>0</v>
      </c>
      <c r="AN50" s="42">
        <f t="shared" si="50"/>
        <v>8</v>
      </c>
      <c r="AO50" s="94">
        <v>2</v>
      </c>
      <c r="AP50" s="262">
        <v>0</v>
      </c>
      <c r="AQ50" s="95">
        <v>0</v>
      </c>
      <c r="AR50" s="42">
        <f t="shared" si="51"/>
        <v>2</v>
      </c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</row>
    <row r="51" spans="2:73" ht="30" customHeight="1" thickBot="1">
      <c r="B51" s="369" t="s">
        <v>11</v>
      </c>
      <c r="C51" s="370"/>
      <c r="D51" s="371"/>
      <c r="E51" s="44">
        <f>SUM(E35:E50)</f>
        <v>66</v>
      </c>
      <c r="F51" s="263">
        <f>SUM(F35:F50)</f>
        <v>1</v>
      </c>
      <c r="G51" s="45">
        <f>SUM(G35:G50)</f>
        <v>0</v>
      </c>
      <c r="H51" s="46">
        <f t="shared" si="0"/>
        <v>67</v>
      </c>
      <c r="I51" s="44">
        <f>SUM(I35:I50)</f>
        <v>967</v>
      </c>
      <c r="J51" s="263">
        <f>SUM(J35:J50)</f>
        <v>4</v>
      </c>
      <c r="K51" s="45">
        <f>SUM(K35:K50)</f>
        <v>63</v>
      </c>
      <c r="L51" s="46">
        <f t="shared" si="1"/>
        <v>1034</v>
      </c>
      <c r="M51" s="44">
        <f>SUM(M35:M50)</f>
        <v>1203</v>
      </c>
      <c r="N51" s="263">
        <f>SUM(N35:N50)</f>
        <v>7</v>
      </c>
      <c r="O51" s="45">
        <f>SUM(O35:O50)</f>
        <v>1</v>
      </c>
      <c r="P51" s="46">
        <f t="shared" si="2"/>
        <v>1211</v>
      </c>
      <c r="Q51" s="44">
        <f>SUM(Q35:Q50)</f>
        <v>431</v>
      </c>
      <c r="R51" s="263">
        <f>SUM(R35:R50)</f>
        <v>5</v>
      </c>
      <c r="S51" s="45">
        <f>SUM(S35:S50)</f>
        <v>0</v>
      </c>
      <c r="T51" s="46">
        <f t="shared" si="3"/>
        <v>436</v>
      </c>
      <c r="U51" s="44">
        <f>SUM(U35:U50)</f>
        <v>39</v>
      </c>
      <c r="V51" s="263">
        <f>SUM(V35:V50)</f>
        <v>0</v>
      </c>
      <c r="W51" s="45">
        <f>SUM(W35:W50)</f>
        <v>0</v>
      </c>
      <c r="X51" s="46">
        <f t="shared" si="4"/>
        <v>39</v>
      </c>
      <c r="Y51" s="44">
        <f>SUM(Y35:Y50)</f>
        <v>340</v>
      </c>
      <c r="Z51" s="263">
        <f>SUM(Z35:Z50)</f>
        <v>4</v>
      </c>
      <c r="AA51" s="45">
        <f>SUM(AA35:AA50)</f>
        <v>0</v>
      </c>
      <c r="AB51" s="46">
        <f t="shared" si="5"/>
        <v>344</v>
      </c>
      <c r="AC51" s="44">
        <f>SUM(AC35:AC50)</f>
        <v>144</v>
      </c>
      <c r="AD51" s="263">
        <f>SUM(AD35:AD50)</f>
        <v>0</v>
      </c>
      <c r="AE51" s="45">
        <f>SUM(AE35:AE50)</f>
        <v>0</v>
      </c>
      <c r="AF51" s="46">
        <f t="shared" si="6"/>
        <v>144</v>
      </c>
      <c r="AG51" s="44">
        <f>SUM(AG35:AG50)</f>
        <v>609</v>
      </c>
      <c r="AH51" s="263">
        <f>SUM(AH35:AH50)</f>
        <v>10</v>
      </c>
      <c r="AI51" s="45">
        <f>SUM(AI35:AI50)</f>
        <v>0</v>
      </c>
      <c r="AJ51" s="46">
        <f t="shared" si="7"/>
        <v>619</v>
      </c>
      <c r="AK51" s="44">
        <f>SUM(AK35:AK50)</f>
        <v>182</v>
      </c>
      <c r="AL51" s="263">
        <f>SUM(AL35:AL50)</f>
        <v>0</v>
      </c>
      <c r="AM51" s="45">
        <f>SUM(AM35:AM50)</f>
        <v>0</v>
      </c>
      <c r="AN51" s="46">
        <f t="shared" si="8"/>
        <v>182</v>
      </c>
      <c r="AO51" s="44">
        <f>SUM(AO35:AO50)</f>
        <v>18</v>
      </c>
      <c r="AP51" s="263">
        <f>SUM(AP35:AP50)</f>
        <v>0</v>
      </c>
      <c r="AQ51" s="45">
        <f>SUM(AQ35:AQ50)</f>
        <v>0</v>
      </c>
      <c r="AR51" s="46">
        <f t="shared" si="9"/>
        <v>18</v>
      </c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</row>
    <row r="52" spans="2:73" ht="24.95" customHeight="1" thickBot="1"/>
    <row r="53" spans="2:73" ht="34.5" customHeight="1" thickBot="1">
      <c r="B53" s="361" t="s">
        <v>5</v>
      </c>
      <c r="C53" s="362"/>
      <c r="D53" s="363"/>
      <c r="E53" s="358" t="str">
        <f>AA3</f>
        <v>St Jude St</v>
      </c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60"/>
      <c r="Y53" s="338" t="str">
        <f>U2</f>
        <v>Great N Rd</v>
      </c>
      <c r="Z53" s="339"/>
      <c r="AA53" s="339"/>
      <c r="AB53" s="339"/>
      <c r="AC53" s="339"/>
      <c r="AD53" s="339"/>
      <c r="AE53" s="339"/>
      <c r="AF53" s="339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40"/>
      <c r="AS53" s="332" t="str">
        <f>S3</f>
        <v>Wingate St</v>
      </c>
      <c r="AT53" s="333"/>
      <c r="AU53" s="333"/>
      <c r="AV53" s="333"/>
      <c r="AW53" s="333"/>
      <c r="AX53" s="333"/>
      <c r="AY53" s="333"/>
      <c r="AZ53" s="333"/>
      <c r="BA53" s="333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4"/>
    </row>
    <row r="54" spans="2:73" ht="39" customHeight="1" thickBot="1">
      <c r="B54" s="361" t="s">
        <v>6</v>
      </c>
      <c r="C54" s="362"/>
      <c r="D54" s="363"/>
      <c r="E54" s="335" t="s">
        <v>55</v>
      </c>
      <c r="F54" s="336"/>
      <c r="G54" s="336"/>
      <c r="H54" s="337"/>
      <c r="I54" s="335" t="s">
        <v>56</v>
      </c>
      <c r="J54" s="336"/>
      <c r="K54" s="336"/>
      <c r="L54" s="337"/>
      <c r="M54" s="335" t="s">
        <v>57</v>
      </c>
      <c r="N54" s="336"/>
      <c r="O54" s="336"/>
      <c r="P54" s="337"/>
      <c r="Q54" s="335" t="s">
        <v>58</v>
      </c>
      <c r="R54" s="336"/>
      <c r="S54" s="336"/>
      <c r="T54" s="337"/>
      <c r="U54" s="335" t="s">
        <v>81</v>
      </c>
      <c r="V54" s="336"/>
      <c r="W54" s="336"/>
      <c r="X54" s="337"/>
      <c r="Y54" s="335" t="s">
        <v>59</v>
      </c>
      <c r="Z54" s="336"/>
      <c r="AA54" s="336"/>
      <c r="AB54" s="337"/>
      <c r="AC54" s="335" t="s">
        <v>60</v>
      </c>
      <c r="AD54" s="336"/>
      <c r="AE54" s="336"/>
      <c r="AF54" s="337"/>
      <c r="AG54" s="335" t="s">
        <v>61</v>
      </c>
      <c r="AH54" s="336"/>
      <c r="AI54" s="336"/>
      <c r="AJ54" s="337"/>
      <c r="AK54" s="335" t="s">
        <v>62</v>
      </c>
      <c r="AL54" s="336"/>
      <c r="AM54" s="336"/>
      <c r="AN54" s="337"/>
      <c r="AO54" s="335" t="s">
        <v>82</v>
      </c>
      <c r="AP54" s="336"/>
      <c r="AQ54" s="336"/>
      <c r="AR54" s="337"/>
      <c r="AS54" s="335" t="s">
        <v>63</v>
      </c>
      <c r="AT54" s="336"/>
      <c r="AU54" s="336"/>
      <c r="AV54" s="337"/>
      <c r="AW54" s="335" t="s">
        <v>64</v>
      </c>
      <c r="AX54" s="336"/>
      <c r="AY54" s="336"/>
      <c r="AZ54" s="337"/>
      <c r="BA54" s="335" t="s">
        <v>65</v>
      </c>
      <c r="BB54" s="336"/>
      <c r="BC54" s="336"/>
      <c r="BD54" s="337"/>
      <c r="BE54" s="335" t="s">
        <v>66</v>
      </c>
      <c r="BF54" s="336"/>
      <c r="BG54" s="336"/>
      <c r="BH54" s="337"/>
      <c r="BI54" s="335" t="s">
        <v>83</v>
      </c>
      <c r="BJ54" s="336"/>
      <c r="BK54" s="336"/>
      <c r="BL54" s="337"/>
    </row>
    <row r="55" spans="2:73" s="29" customFormat="1" ht="49.5" thickBot="1">
      <c r="B55" s="372" t="s">
        <v>7</v>
      </c>
      <c r="C55" s="373"/>
      <c r="D55" s="374"/>
      <c r="E55" s="26" t="str">
        <f>$E$13</f>
        <v>Lights</v>
      </c>
      <c r="F55" s="260" t="str">
        <f>$G$13</f>
        <v>Heavies</v>
      </c>
      <c r="G55" s="27" t="str">
        <f>$I$13</f>
        <v>Buses</v>
      </c>
      <c r="H55" s="28" t="s">
        <v>8</v>
      </c>
      <c r="I55" s="26" t="str">
        <f>$E$13</f>
        <v>Lights</v>
      </c>
      <c r="J55" s="260" t="str">
        <f>$G$13</f>
        <v>Heavies</v>
      </c>
      <c r="K55" s="27" t="str">
        <f>$I$13</f>
        <v>Buses</v>
      </c>
      <c r="L55" s="28" t="s">
        <v>8</v>
      </c>
      <c r="M55" s="26" t="str">
        <f>$E$13</f>
        <v>Lights</v>
      </c>
      <c r="N55" s="260" t="str">
        <f>$G$13</f>
        <v>Heavies</v>
      </c>
      <c r="O55" s="27" t="str">
        <f>$I$13</f>
        <v>Buses</v>
      </c>
      <c r="P55" s="28" t="s">
        <v>8</v>
      </c>
      <c r="Q55" s="26" t="str">
        <f>$E$13</f>
        <v>Lights</v>
      </c>
      <c r="R55" s="260" t="str">
        <f>$G$13</f>
        <v>Heavies</v>
      </c>
      <c r="S55" s="27" t="str">
        <f>$I$13</f>
        <v>Buses</v>
      </c>
      <c r="T55" s="28" t="s">
        <v>8</v>
      </c>
      <c r="U55" s="26" t="str">
        <f>$E$13</f>
        <v>Lights</v>
      </c>
      <c r="V55" s="260" t="str">
        <f>$G$13</f>
        <v>Heavies</v>
      </c>
      <c r="W55" s="27" t="str">
        <f>$I$13</f>
        <v>Buses</v>
      </c>
      <c r="X55" s="28" t="s">
        <v>8</v>
      </c>
      <c r="Y55" s="26" t="str">
        <f>$E$13</f>
        <v>Lights</v>
      </c>
      <c r="Z55" s="260" t="str">
        <f>$G$13</f>
        <v>Heavies</v>
      </c>
      <c r="AA55" s="27" t="str">
        <f>$I$13</f>
        <v>Buses</v>
      </c>
      <c r="AB55" s="28" t="s">
        <v>8</v>
      </c>
      <c r="AC55" s="26" t="str">
        <f>$E$13</f>
        <v>Lights</v>
      </c>
      <c r="AD55" s="260" t="str">
        <f>$G$13</f>
        <v>Heavies</v>
      </c>
      <c r="AE55" s="27" t="str">
        <f>$I$13</f>
        <v>Buses</v>
      </c>
      <c r="AF55" s="28" t="s">
        <v>8</v>
      </c>
      <c r="AG55" s="26" t="str">
        <f>$E$13</f>
        <v>Lights</v>
      </c>
      <c r="AH55" s="260" t="str">
        <f>$G$13</f>
        <v>Heavies</v>
      </c>
      <c r="AI55" s="27" t="str">
        <f>$I$13</f>
        <v>Buses</v>
      </c>
      <c r="AJ55" s="28" t="s">
        <v>8</v>
      </c>
      <c r="AK55" s="26" t="str">
        <f>$E$13</f>
        <v>Lights</v>
      </c>
      <c r="AL55" s="260" t="str">
        <f>$G$13</f>
        <v>Heavies</v>
      </c>
      <c r="AM55" s="27" t="str">
        <f>$I$13</f>
        <v>Buses</v>
      </c>
      <c r="AN55" s="28" t="s">
        <v>8</v>
      </c>
      <c r="AO55" s="26" t="str">
        <f>$E$13</f>
        <v>Lights</v>
      </c>
      <c r="AP55" s="260" t="str">
        <f>$G$13</f>
        <v>Heavies</v>
      </c>
      <c r="AQ55" s="27" t="str">
        <f>$I$13</f>
        <v>Buses</v>
      </c>
      <c r="AR55" s="28" t="s">
        <v>8</v>
      </c>
      <c r="AS55" s="26" t="str">
        <f>$E$13</f>
        <v>Lights</v>
      </c>
      <c r="AT55" s="260" t="str">
        <f>$G$13</f>
        <v>Heavies</v>
      </c>
      <c r="AU55" s="27" t="str">
        <f>$I$13</f>
        <v>Buses</v>
      </c>
      <c r="AV55" s="28" t="s">
        <v>8</v>
      </c>
      <c r="AW55" s="26" t="str">
        <f>$E$13</f>
        <v>Lights</v>
      </c>
      <c r="AX55" s="260" t="str">
        <f>$G$13</f>
        <v>Heavies</v>
      </c>
      <c r="AY55" s="27" t="str">
        <f>$I$13</f>
        <v>Buses</v>
      </c>
      <c r="AZ55" s="28" t="s">
        <v>8</v>
      </c>
      <c r="BA55" s="26" t="str">
        <f>$E$13</f>
        <v>Lights</v>
      </c>
      <c r="BB55" s="260" t="str">
        <f>$G$13</f>
        <v>Heavies</v>
      </c>
      <c r="BC55" s="27" t="str">
        <f>$I$13</f>
        <v>Buses</v>
      </c>
      <c r="BD55" s="28" t="s">
        <v>8</v>
      </c>
      <c r="BE55" s="26" t="str">
        <f>$E$13</f>
        <v>Lights</v>
      </c>
      <c r="BF55" s="260" t="str">
        <f>$G$13</f>
        <v>Heavies</v>
      </c>
      <c r="BG55" s="27" t="str">
        <f>$I$13</f>
        <v>Buses</v>
      </c>
      <c r="BH55" s="28" t="s">
        <v>8</v>
      </c>
      <c r="BI55" s="26" t="str">
        <f>$E$13</f>
        <v>Lights</v>
      </c>
      <c r="BJ55" s="260" t="str">
        <f>$G$13</f>
        <v>Heavies</v>
      </c>
      <c r="BK55" s="27" t="str">
        <f>$I$13</f>
        <v>Buses</v>
      </c>
      <c r="BL55" s="28" t="s">
        <v>8</v>
      </c>
      <c r="BM55" s="266"/>
      <c r="BN55" s="266"/>
      <c r="BO55" s="266"/>
      <c r="BP55" s="266"/>
      <c r="BQ55" s="266"/>
      <c r="BR55" s="1"/>
      <c r="BS55" s="1"/>
      <c r="BT55" s="1"/>
      <c r="BU55" s="1"/>
    </row>
    <row r="56" spans="2:73" ht="24.95" customHeight="1">
      <c r="B56" s="30">
        <f>B18</f>
        <v>0.25</v>
      </c>
      <c r="C56" s="31" t="s">
        <v>9</v>
      </c>
      <c r="D56" s="32">
        <f>SUM(0.0416667/4)+B56</f>
        <v>0.26041667499999999</v>
      </c>
      <c r="E56" s="92">
        <v>2</v>
      </c>
      <c r="F56" s="261">
        <v>0</v>
      </c>
      <c r="G56" s="93">
        <v>0</v>
      </c>
      <c r="H56" s="36">
        <f t="shared" ref="H56:H89" si="52">SUM(E56:G56)</f>
        <v>2</v>
      </c>
      <c r="I56" s="92">
        <v>16</v>
      </c>
      <c r="J56" s="261">
        <v>1</v>
      </c>
      <c r="K56" s="93">
        <v>0</v>
      </c>
      <c r="L56" s="36">
        <f t="shared" ref="L56:L89" si="53">SUM(I56:K56)</f>
        <v>17</v>
      </c>
      <c r="M56" s="92">
        <v>1</v>
      </c>
      <c r="N56" s="261">
        <v>0</v>
      </c>
      <c r="O56" s="93">
        <v>0</v>
      </c>
      <c r="P56" s="36">
        <f t="shared" ref="P56:P89" si="54">SUM(M56:O56)</f>
        <v>1</v>
      </c>
      <c r="Q56" s="92">
        <v>3</v>
      </c>
      <c r="R56" s="261">
        <v>1</v>
      </c>
      <c r="S56" s="93">
        <v>0</v>
      </c>
      <c r="T56" s="36">
        <f t="shared" ref="T56:T89" si="55">SUM(Q56:S56)</f>
        <v>4</v>
      </c>
      <c r="U56" s="92">
        <v>0</v>
      </c>
      <c r="V56" s="261">
        <v>0</v>
      </c>
      <c r="W56" s="93">
        <v>0</v>
      </c>
      <c r="X56" s="36">
        <f t="shared" ref="X56:X89" si="56">SUM(U56:W56)</f>
        <v>0</v>
      </c>
      <c r="Y56" s="92">
        <v>0</v>
      </c>
      <c r="Z56" s="261">
        <v>0</v>
      </c>
      <c r="AA56" s="93">
        <v>0</v>
      </c>
      <c r="AB56" s="36">
        <f t="shared" ref="AB56:AB89" si="57">SUM(Y56:AA56)</f>
        <v>0</v>
      </c>
      <c r="AC56" s="92">
        <v>7</v>
      </c>
      <c r="AD56" s="261">
        <v>0</v>
      </c>
      <c r="AE56" s="93">
        <v>0</v>
      </c>
      <c r="AF56" s="36">
        <f t="shared" ref="AF56:AF89" si="58">SUM(AC56:AE56)</f>
        <v>7</v>
      </c>
      <c r="AG56" s="92">
        <v>19</v>
      </c>
      <c r="AH56" s="261">
        <v>1</v>
      </c>
      <c r="AI56" s="93">
        <v>4</v>
      </c>
      <c r="AJ56" s="36">
        <f t="shared" ref="AJ56:AJ89" si="59">SUM(AG56:AI56)</f>
        <v>24</v>
      </c>
      <c r="AK56" s="92">
        <v>0</v>
      </c>
      <c r="AL56" s="261">
        <v>0</v>
      </c>
      <c r="AM56" s="93">
        <v>0</v>
      </c>
      <c r="AN56" s="36">
        <f t="shared" ref="AN56:AN89" si="60">SUM(AK56:AM56)</f>
        <v>0</v>
      </c>
      <c r="AO56" s="92">
        <v>0</v>
      </c>
      <c r="AP56" s="261">
        <v>0</v>
      </c>
      <c r="AQ56" s="93">
        <v>0</v>
      </c>
      <c r="AR56" s="36">
        <f t="shared" ref="AR56:AR89" si="61">SUM(AO56:AQ56)</f>
        <v>0</v>
      </c>
      <c r="AS56" s="92">
        <v>4</v>
      </c>
      <c r="AT56" s="261">
        <v>0</v>
      </c>
      <c r="AU56" s="93">
        <v>0</v>
      </c>
      <c r="AV56" s="36">
        <f t="shared" ref="AV56:AV89" si="62">SUM(AS56:AU56)</f>
        <v>4</v>
      </c>
      <c r="AW56" s="92">
        <v>2</v>
      </c>
      <c r="AX56" s="261">
        <v>0</v>
      </c>
      <c r="AY56" s="93">
        <v>0</v>
      </c>
      <c r="AZ56" s="36">
        <f t="shared" ref="AZ56:AZ89" si="63">SUM(AW56:AY56)</f>
        <v>2</v>
      </c>
      <c r="BA56" s="92">
        <v>4</v>
      </c>
      <c r="BB56" s="261">
        <v>0</v>
      </c>
      <c r="BC56" s="93">
        <v>0</v>
      </c>
      <c r="BD56" s="36">
        <f t="shared" ref="BD56:BD89" si="64">SUM(BA56:BC56)</f>
        <v>4</v>
      </c>
      <c r="BE56" s="92">
        <v>0</v>
      </c>
      <c r="BF56" s="261">
        <v>0</v>
      </c>
      <c r="BG56" s="93">
        <v>0</v>
      </c>
      <c r="BH56" s="36">
        <f t="shared" ref="BH56:BH89" si="65">SUM(BE56:BG56)</f>
        <v>0</v>
      </c>
      <c r="BI56" s="92">
        <v>0</v>
      </c>
      <c r="BJ56" s="261">
        <v>0</v>
      </c>
      <c r="BK56" s="93">
        <v>0</v>
      </c>
      <c r="BL56" s="36">
        <f t="shared" ref="BL56:BL89" si="66">SUM(BI56:BK56)</f>
        <v>0</v>
      </c>
      <c r="BM56" s="251"/>
      <c r="BN56" s="251"/>
      <c r="BO56" s="251"/>
      <c r="BP56" s="251"/>
      <c r="BQ56" s="251"/>
      <c r="BR56" s="251"/>
      <c r="BS56" s="251"/>
      <c r="BT56" s="251"/>
      <c r="BU56" s="251"/>
    </row>
    <row r="57" spans="2:73" ht="24.95" customHeight="1">
      <c r="B57" s="37">
        <f>+D56</f>
        <v>0.26041667499999999</v>
      </c>
      <c r="C57" s="38" t="s">
        <v>9</v>
      </c>
      <c r="D57" s="39">
        <f>SUM(0.0416667/4)+B57</f>
        <v>0.27083334999999997</v>
      </c>
      <c r="E57" s="94">
        <v>2</v>
      </c>
      <c r="F57" s="262">
        <v>0</v>
      </c>
      <c r="G57" s="95">
        <v>0</v>
      </c>
      <c r="H57" s="42">
        <f t="shared" si="52"/>
        <v>2</v>
      </c>
      <c r="I57" s="94">
        <v>11</v>
      </c>
      <c r="J57" s="262">
        <v>2</v>
      </c>
      <c r="K57" s="95">
        <v>0</v>
      </c>
      <c r="L57" s="42">
        <f t="shared" si="53"/>
        <v>13</v>
      </c>
      <c r="M57" s="94">
        <v>2</v>
      </c>
      <c r="N57" s="262">
        <v>1</v>
      </c>
      <c r="O57" s="95">
        <v>0</v>
      </c>
      <c r="P57" s="42">
        <f t="shared" si="54"/>
        <v>3</v>
      </c>
      <c r="Q57" s="94">
        <v>2</v>
      </c>
      <c r="R57" s="262">
        <v>0</v>
      </c>
      <c r="S57" s="95">
        <v>0</v>
      </c>
      <c r="T57" s="42">
        <f t="shared" si="55"/>
        <v>2</v>
      </c>
      <c r="U57" s="94">
        <v>0</v>
      </c>
      <c r="V57" s="262">
        <v>0</v>
      </c>
      <c r="W57" s="95">
        <v>0</v>
      </c>
      <c r="X57" s="42">
        <f t="shared" si="56"/>
        <v>0</v>
      </c>
      <c r="Y57" s="94">
        <v>3</v>
      </c>
      <c r="Z57" s="262">
        <v>0</v>
      </c>
      <c r="AA57" s="95">
        <v>0</v>
      </c>
      <c r="AB57" s="42">
        <f t="shared" si="57"/>
        <v>3</v>
      </c>
      <c r="AC57" s="94">
        <v>12</v>
      </c>
      <c r="AD57" s="262">
        <v>0</v>
      </c>
      <c r="AE57" s="95">
        <v>0</v>
      </c>
      <c r="AF57" s="42">
        <f t="shared" si="58"/>
        <v>12</v>
      </c>
      <c r="AG57" s="94">
        <v>16</v>
      </c>
      <c r="AH57" s="262">
        <v>2</v>
      </c>
      <c r="AI57" s="95">
        <v>3</v>
      </c>
      <c r="AJ57" s="42">
        <f t="shared" si="59"/>
        <v>21</v>
      </c>
      <c r="AK57" s="94">
        <v>0</v>
      </c>
      <c r="AL57" s="262">
        <v>0</v>
      </c>
      <c r="AM57" s="95">
        <v>0</v>
      </c>
      <c r="AN57" s="42">
        <f t="shared" si="60"/>
        <v>0</v>
      </c>
      <c r="AO57" s="94">
        <v>1</v>
      </c>
      <c r="AP57" s="262">
        <v>0</v>
      </c>
      <c r="AQ57" s="95">
        <v>0</v>
      </c>
      <c r="AR57" s="42">
        <f t="shared" si="61"/>
        <v>1</v>
      </c>
      <c r="AS57" s="94">
        <v>5</v>
      </c>
      <c r="AT57" s="262">
        <v>0</v>
      </c>
      <c r="AU57" s="95">
        <v>0</v>
      </c>
      <c r="AV57" s="42">
        <f t="shared" si="62"/>
        <v>5</v>
      </c>
      <c r="AW57" s="94">
        <v>4</v>
      </c>
      <c r="AX57" s="262">
        <v>0</v>
      </c>
      <c r="AY57" s="95">
        <v>0</v>
      </c>
      <c r="AZ57" s="42">
        <f t="shared" si="63"/>
        <v>4</v>
      </c>
      <c r="BA57" s="94">
        <v>1</v>
      </c>
      <c r="BB57" s="262">
        <v>0</v>
      </c>
      <c r="BC57" s="95">
        <v>0</v>
      </c>
      <c r="BD57" s="42">
        <f t="shared" si="64"/>
        <v>1</v>
      </c>
      <c r="BE57" s="94">
        <v>0</v>
      </c>
      <c r="BF57" s="262">
        <v>0</v>
      </c>
      <c r="BG57" s="95">
        <v>0</v>
      </c>
      <c r="BH57" s="42">
        <f t="shared" si="65"/>
        <v>0</v>
      </c>
      <c r="BI57" s="94">
        <v>0</v>
      </c>
      <c r="BJ57" s="262">
        <v>0</v>
      </c>
      <c r="BK57" s="95">
        <v>0</v>
      </c>
      <c r="BL57" s="42">
        <f t="shared" si="66"/>
        <v>0</v>
      </c>
      <c r="BM57" s="251"/>
      <c r="BN57" s="251"/>
      <c r="BO57" s="251"/>
      <c r="BP57" s="251"/>
      <c r="BQ57" s="251"/>
      <c r="BR57" s="251"/>
      <c r="BS57" s="251"/>
      <c r="BT57" s="251"/>
      <c r="BU57" s="251"/>
    </row>
    <row r="58" spans="2:73" ht="24.95" customHeight="1">
      <c r="B58" s="37">
        <f t="shared" ref="B58:B63" si="67">+D57</f>
        <v>0.27083334999999997</v>
      </c>
      <c r="C58" s="38" t="s">
        <v>9</v>
      </c>
      <c r="D58" s="39">
        <f t="shared" ref="D58:D63" si="68">SUM(0.0416667/4)+B58</f>
        <v>0.28125002499999996</v>
      </c>
      <c r="E58" s="94">
        <v>1</v>
      </c>
      <c r="F58" s="262">
        <v>0</v>
      </c>
      <c r="G58" s="95">
        <v>0</v>
      </c>
      <c r="H58" s="42">
        <f t="shared" si="52"/>
        <v>1</v>
      </c>
      <c r="I58" s="94">
        <v>20</v>
      </c>
      <c r="J58" s="262">
        <v>0</v>
      </c>
      <c r="K58" s="95">
        <v>0</v>
      </c>
      <c r="L58" s="42">
        <f t="shared" si="53"/>
        <v>20</v>
      </c>
      <c r="M58" s="94">
        <v>0</v>
      </c>
      <c r="N58" s="262">
        <v>0</v>
      </c>
      <c r="O58" s="95">
        <v>0</v>
      </c>
      <c r="P58" s="42">
        <f t="shared" si="54"/>
        <v>0</v>
      </c>
      <c r="Q58" s="94">
        <v>5</v>
      </c>
      <c r="R58" s="262">
        <v>0</v>
      </c>
      <c r="S58" s="95">
        <v>0</v>
      </c>
      <c r="T58" s="42">
        <f t="shared" si="55"/>
        <v>5</v>
      </c>
      <c r="U58" s="94">
        <v>0</v>
      </c>
      <c r="V58" s="262">
        <v>0</v>
      </c>
      <c r="W58" s="95">
        <v>0</v>
      </c>
      <c r="X58" s="42">
        <f t="shared" si="56"/>
        <v>0</v>
      </c>
      <c r="Y58" s="94">
        <v>2</v>
      </c>
      <c r="Z58" s="262">
        <v>1</v>
      </c>
      <c r="AA58" s="95">
        <v>0</v>
      </c>
      <c r="AB58" s="42">
        <f t="shared" si="57"/>
        <v>3</v>
      </c>
      <c r="AC58" s="94">
        <v>13</v>
      </c>
      <c r="AD58" s="262">
        <v>0</v>
      </c>
      <c r="AE58" s="95">
        <v>0</v>
      </c>
      <c r="AF58" s="42">
        <f t="shared" si="58"/>
        <v>13</v>
      </c>
      <c r="AG58" s="94">
        <v>15</v>
      </c>
      <c r="AH58" s="262">
        <v>2</v>
      </c>
      <c r="AI58" s="95">
        <v>2</v>
      </c>
      <c r="AJ58" s="42">
        <f t="shared" si="59"/>
        <v>19</v>
      </c>
      <c r="AK58" s="94">
        <v>0</v>
      </c>
      <c r="AL58" s="262">
        <v>1</v>
      </c>
      <c r="AM58" s="95">
        <v>0</v>
      </c>
      <c r="AN58" s="42">
        <f t="shared" si="60"/>
        <v>1</v>
      </c>
      <c r="AO58" s="94">
        <v>0</v>
      </c>
      <c r="AP58" s="262">
        <v>0</v>
      </c>
      <c r="AQ58" s="95">
        <v>0</v>
      </c>
      <c r="AR58" s="42">
        <f t="shared" si="61"/>
        <v>0</v>
      </c>
      <c r="AS58" s="94">
        <v>8</v>
      </c>
      <c r="AT58" s="262">
        <v>1</v>
      </c>
      <c r="AU58" s="95">
        <v>0</v>
      </c>
      <c r="AV58" s="42">
        <f t="shared" si="62"/>
        <v>9</v>
      </c>
      <c r="AW58" s="94">
        <v>5</v>
      </c>
      <c r="AX58" s="262">
        <v>0</v>
      </c>
      <c r="AY58" s="95">
        <v>0</v>
      </c>
      <c r="AZ58" s="42">
        <f t="shared" si="63"/>
        <v>5</v>
      </c>
      <c r="BA58" s="94">
        <v>1</v>
      </c>
      <c r="BB58" s="262">
        <v>0</v>
      </c>
      <c r="BC58" s="95">
        <v>0</v>
      </c>
      <c r="BD58" s="42">
        <f t="shared" si="64"/>
        <v>1</v>
      </c>
      <c r="BE58" s="94">
        <v>0</v>
      </c>
      <c r="BF58" s="262">
        <v>0</v>
      </c>
      <c r="BG58" s="95">
        <v>0</v>
      </c>
      <c r="BH58" s="42">
        <f t="shared" si="65"/>
        <v>0</v>
      </c>
      <c r="BI58" s="94">
        <v>0</v>
      </c>
      <c r="BJ58" s="262">
        <v>0</v>
      </c>
      <c r="BK58" s="95">
        <v>0</v>
      </c>
      <c r="BL58" s="42">
        <f t="shared" si="66"/>
        <v>0</v>
      </c>
      <c r="BM58" s="251"/>
      <c r="BN58" s="251"/>
      <c r="BO58" s="251"/>
      <c r="BP58" s="251"/>
      <c r="BQ58" s="251"/>
      <c r="BR58" s="251"/>
      <c r="BS58" s="251"/>
      <c r="BT58" s="251"/>
      <c r="BU58" s="251"/>
    </row>
    <row r="59" spans="2:73" ht="24.95" customHeight="1">
      <c r="B59" s="37">
        <f t="shared" si="67"/>
        <v>0.28125002499999996</v>
      </c>
      <c r="C59" s="38" t="s">
        <v>9</v>
      </c>
      <c r="D59" s="39">
        <f t="shared" si="68"/>
        <v>0.29166669999999995</v>
      </c>
      <c r="E59" s="94">
        <v>2</v>
      </c>
      <c r="F59" s="262">
        <v>2</v>
      </c>
      <c r="G59" s="95">
        <v>0</v>
      </c>
      <c r="H59" s="42">
        <f t="shared" si="52"/>
        <v>4</v>
      </c>
      <c r="I59" s="94">
        <v>26</v>
      </c>
      <c r="J59" s="262">
        <v>0</v>
      </c>
      <c r="K59" s="95">
        <v>0</v>
      </c>
      <c r="L59" s="42">
        <f t="shared" si="53"/>
        <v>26</v>
      </c>
      <c r="M59" s="94">
        <v>3</v>
      </c>
      <c r="N59" s="262">
        <v>1</v>
      </c>
      <c r="O59" s="95">
        <v>0</v>
      </c>
      <c r="P59" s="42">
        <f t="shared" si="54"/>
        <v>4</v>
      </c>
      <c r="Q59" s="94">
        <v>7</v>
      </c>
      <c r="R59" s="262">
        <v>0</v>
      </c>
      <c r="S59" s="95">
        <v>0</v>
      </c>
      <c r="T59" s="42">
        <f t="shared" si="55"/>
        <v>7</v>
      </c>
      <c r="U59" s="94">
        <v>0</v>
      </c>
      <c r="V59" s="262">
        <v>0</v>
      </c>
      <c r="W59" s="95">
        <v>0</v>
      </c>
      <c r="X59" s="42">
        <f t="shared" si="56"/>
        <v>0</v>
      </c>
      <c r="Y59" s="94">
        <v>3</v>
      </c>
      <c r="Z59" s="262">
        <v>0</v>
      </c>
      <c r="AA59" s="95">
        <v>0</v>
      </c>
      <c r="AB59" s="42">
        <f t="shared" si="57"/>
        <v>3</v>
      </c>
      <c r="AC59" s="94">
        <v>16</v>
      </c>
      <c r="AD59" s="262">
        <v>0</v>
      </c>
      <c r="AE59" s="95">
        <v>0</v>
      </c>
      <c r="AF59" s="42">
        <f t="shared" si="58"/>
        <v>16</v>
      </c>
      <c r="AG59" s="94">
        <v>35</v>
      </c>
      <c r="AH59" s="262">
        <v>1</v>
      </c>
      <c r="AI59" s="95">
        <v>3</v>
      </c>
      <c r="AJ59" s="42">
        <f t="shared" si="59"/>
        <v>39</v>
      </c>
      <c r="AK59" s="94">
        <v>0</v>
      </c>
      <c r="AL59" s="262">
        <v>0</v>
      </c>
      <c r="AM59" s="95">
        <v>0</v>
      </c>
      <c r="AN59" s="42">
        <f t="shared" si="60"/>
        <v>0</v>
      </c>
      <c r="AO59" s="94">
        <v>0</v>
      </c>
      <c r="AP59" s="262">
        <v>0</v>
      </c>
      <c r="AQ59" s="95">
        <v>0</v>
      </c>
      <c r="AR59" s="42">
        <f t="shared" si="61"/>
        <v>0</v>
      </c>
      <c r="AS59" s="94">
        <v>5</v>
      </c>
      <c r="AT59" s="262">
        <v>0</v>
      </c>
      <c r="AU59" s="95">
        <v>0</v>
      </c>
      <c r="AV59" s="42">
        <f t="shared" si="62"/>
        <v>5</v>
      </c>
      <c r="AW59" s="94">
        <v>8</v>
      </c>
      <c r="AX59" s="262">
        <v>0</v>
      </c>
      <c r="AY59" s="95">
        <v>0</v>
      </c>
      <c r="AZ59" s="42">
        <f t="shared" si="63"/>
        <v>8</v>
      </c>
      <c r="BA59" s="94">
        <v>3</v>
      </c>
      <c r="BB59" s="262">
        <v>0</v>
      </c>
      <c r="BC59" s="95">
        <v>0</v>
      </c>
      <c r="BD59" s="42">
        <f t="shared" si="64"/>
        <v>3</v>
      </c>
      <c r="BE59" s="94">
        <v>1</v>
      </c>
      <c r="BF59" s="262">
        <v>0</v>
      </c>
      <c r="BG59" s="95">
        <v>0</v>
      </c>
      <c r="BH59" s="42">
        <f t="shared" si="65"/>
        <v>1</v>
      </c>
      <c r="BI59" s="94">
        <v>0</v>
      </c>
      <c r="BJ59" s="262">
        <v>0</v>
      </c>
      <c r="BK59" s="95">
        <v>0</v>
      </c>
      <c r="BL59" s="42">
        <f t="shared" si="66"/>
        <v>0</v>
      </c>
      <c r="BM59" s="251"/>
      <c r="BN59" s="251"/>
      <c r="BO59" s="251"/>
      <c r="BP59" s="251"/>
      <c r="BQ59" s="251"/>
      <c r="BR59" s="251"/>
      <c r="BS59" s="251"/>
      <c r="BT59" s="251"/>
      <c r="BU59" s="251"/>
    </row>
    <row r="60" spans="2:73" ht="24.95" customHeight="1">
      <c r="B60" s="37">
        <f t="shared" si="67"/>
        <v>0.29166669999999995</v>
      </c>
      <c r="C60" s="38" t="s">
        <v>9</v>
      </c>
      <c r="D60" s="39">
        <f t="shared" si="68"/>
        <v>0.30208337499999993</v>
      </c>
      <c r="E60" s="94">
        <v>1</v>
      </c>
      <c r="F60" s="262">
        <v>0</v>
      </c>
      <c r="G60" s="95">
        <v>0</v>
      </c>
      <c r="H60" s="42">
        <f t="shared" si="52"/>
        <v>1</v>
      </c>
      <c r="I60" s="94">
        <v>30</v>
      </c>
      <c r="J60" s="262">
        <v>1</v>
      </c>
      <c r="K60" s="95">
        <v>0</v>
      </c>
      <c r="L60" s="42">
        <f t="shared" si="53"/>
        <v>31</v>
      </c>
      <c r="M60" s="94">
        <v>1</v>
      </c>
      <c r="N60" s="262">
        <v>0</v>
      </c>
      <c r="O60" s="95">
        <v>0</v>
      </c>
      <c r="P60" s="42">
        <f t="shared" si="54"/>
        <v>1</v>
      </c>
      <c r="Q60" s="94">
        <v>4</v>
      </c>
      <c r="R60" s="262">
        <v>1</v>
      </c>
      <c r="S60" s="95">
        <v>0</v>
      </c>
      <c r="T60" s="42">
        <f t="shared" si="55"/>
        <v>5</v>
      </c>
      <c r="U60" s="94">
        <v>0</v>
      </c>
      <c r="V60" s="262">
        <v>0</v>
      </c>
      <c r="W60" s="95">
        <v>0</v>
      </c>
      <c r="X60" s="42">
        <f t="shared" si="56"/>
        <v>0</v>
      </c>
      <c r="Y60" s="94">
        <v>3</v>
      </c>
      <c r="Z60" s="262">
        <v>0</v>
      </c>
      <c r="AA60" s="95">
        <v>0</v>
      </c>
      <c r="AB60" s="42">
        <f t="shared" si="57"/>
        <v>3</v>
      </c>
      <c r="AC60" s="94">
        <v>16</v>
      </c>
      <c r="AD60" s="262">
        <v>0</v>
      </c>
      <c r="AE60" s="95">
        <v>0</v>
      </c>
      <c r="AF60" s="42">
        <f t="shared" si="58"/>
        <v>16</v>
      </c>
      <c r="AG60" s="94">
        <v>22</v>
      </c>
      <c r="AH60" s="262">
        <v>1</v>
      </c>
      <c r="AI60" s="95">
        <v>1</v>
      </c>
      <c r="AJ60" s="42">
        <f t="shared" si="59"/>
        <v>24</v>
      </c>
      <c r="AK60" s="94">
        <v>1</v>
      </c>
      <c r="AL60" s="262">
        <v>0</v>
      </c>
      <c r="AM60" s="95">
        <v>0</v>
      </c>
      <c r="AN60" s="42">
        <f t="shared" si="60"/>
        <v>1</v>
      </c>
      <c r="AO60" s="94">
        <v>0</v>
      </c>
      <c r="AP60" s="262">
        <v>0</v>
      </c>
      <c r="AQ60" s="95">
        <v>0</v>
      </c>
      <c r="AR60" s="42">
        <f t="shared" si="61"/>
        <v>0</v>
      </c>
      <c r="AS60" s="94">
        <v>6</v>
      </c>
      <c r="AT60" s="262">
        <v>0</v>
      </c>
      <c r="AU60" s="95">
        <v>0</v>
      </c>
      <c r="AV60" s="42">
        <f t="shared" si="62"/>
        <v>6</v>
      </c>
      <c r="AW60" s="94">
        <v>2</v>
      </c>
      <c r="AX60" s="262">
        <v>0</v>
      </c>
      <c r="AY60" s="95">
        <v>0</v>
      </c>
      <c r="AZ60" s="42">
        <f t="shared" si="63"/>
        <v>2</v>
      </c>
      <c r="BA60" s="94">
        <v>4</v>
      </c>
      <c r="BB60" s="262">
        <v>0</v>
      </c>
      <c r="BC60" s="95">
        <v>0</v>
      </c>
      <c r="BD60" s="42">
        <f t="shared" si="64"/>
        <v>4</v>
      </c>
      <c r="BE60" s="94">
        <v>1</v>
      </c>
      <c r="BF60" s="262">
        <v>0</v>
      </c>
      <c r="BG60" s="95">
        <v>0</v>
      </c>
      <c r="BH60" s="42">
        <f t="shared" si="65"/>
        <v>1</v>
      </c>
      <c r="BI60" s="94">
        <v>0</v>
      </c>
      <c r="BJ60" s="262">
        <v>0</v>
      </c>
      <c r="BK60" s="95">
        <v>0</v>
      </c>
      <c r="BL60" s="42">
        <f t="shared" si="66"/>
        <v>0</v>
      </c>
      <c r="BM60" s="251"/>
      <c r="BN60" s="251"/>
      <c r="BO60" s="251"/>
      <c r="BP60" s="251"/>
      <c r="BQ60" s="251"/>
      <c r="BR60" s="251"/>
      <c r="BS60" s="251"/>
      <c r="BT60" s="251"/>
      <c r="BU60" s="251"/>
    </row>
    <row r="61" spans="2:73" ht="24.95" customHeight="1">
      <c r="B61" s="37">
        <f t="shared" si="67"/>
        <v>0.30208337499999993</v>
      </c>
      <c r="C61" s="38" t="s">
        <v>9</v>
      </c>
      <c r="D61" s="39">
        <f t="shared" si="68"/>
        <v>0.31250004999999992</v>
      </c>
      <c r="E61" s="94">
        <v>7</v>
      </c>
      <c r="F61" s="262">
        <v>1</v>
      </c>
      <c r="G61" s="95">
        <v>0</v>
      </c>
      <c r="H61" s="42">
        <f t="shared" si="52"/>
        <v>8</v>
      </c>
      <c r="I61" s="94">
        <v>35</v>
      </c>
      <c r="J61" s="262">
        <v>1</v>
      </c>
      <c r="K61" s="95">
        <v>0</v>
      </c>
      <c r="L61" s="42">
        <f t="shared" si="53"/>
        <v>36</v>
      </c>
      <c r="M61" s="94">
        <v>2</v>
      </c>
      <c r="N61" s="262">
        <v>0</v>
      </c>
      <c r="O61" s="95">
        <v>0</v>
      </c>
      <c r="P61" s="42">
        <f t="shared" si="54"/>
        <v>2</v>
      </c>
      <c r="Q61" s="94">
        <v>5</v>
      </c>
      <c r="R61" s="262">
        <v>0</v>
      </c>
      <c r="S61" s="95">
        <v>0</v>
      </c>
      <c r="T61" s="42">
        <f t="shared" si="55"/>
        <v>5</v>
      </c>
      <c r="U61" s="94">
        <v>0</v>
      </c>
      <c r="V61" s="262">
        <v>0</v>
      </c>
      <c r="W61" s="95">
        <v>0</v>
      </c>
      <c r="X61" s="42">
        <f t="shared" si="56"/>
        <v>0</v>
      </c>
      <c r="Y61" s="94">
        <v>5</v>
      </c>
      <c r="Z61" s="262">
        <v>0</v>
      </c>
      <c r="AA61" s="95">
        <v>0</v>
      </c>
      <c r="AB61" s="42">
        <f t="shared" si="57"/>
        <v>5</v>
      </c>
      <c r="AC61" s="94">
        <v>32</v>
      </c>
      <c r="AD61" s="262">
        <v>0</v>
      </c>
      <c r="AE61" s="95">
        <v>0</v>
      </c>
      <c r="AF61" s="42">
        <f t="shared" si="58"/>
        <v>32</v>
      </c>
      <c r="AG61" s="94">
        <v>21</v>
      </c>
      <c r="AH61" s="262">
        <v>1</v>
      </c>
      <c r="AI61" s="95">
        <v>2</v>
      </c>
      <c r="AJ61" s="42">
        <f t="shared" si="59"/>
        <v>24</v>
      </c>
      <c r="AK61" s="94">
        <v>2</v>
      </c>
      <c r="AL61" s="262">
        <v>0</v>
      </c>
      <c r="AM61" s="95">
        <v>0</v>
      </c>
      <c r="AN61" s="42">
        <f t="shared" si="60"/>
        <v>2</v>
      </c>
      <c r="AO61" s="94">
        <v>0</v>
      </c>
      <c r="AP61" s="262">
        <v>0</v>
      </c>
      <c r="AQ61" s="95">
        <v>0</v>
      </c>
      <c r="AR61" s="42">
        <f t="shared" si="61"/>
        <v>0</v>
      </c>
      <c r="AS61" s="94">
        <v>12</v>
      </c>
      <c r="AT61" s="262">
        <v>0</v>
      </c>
      <c r="AU61" s="95">
        <v>0</v>
      </c>
      <c r="AV61" s="42">
        <f t="shared" si="62"/>
        <v>12</v>
      </c>
      <c r="AW61" s="94">
        <v>1</v>
      </c>
      <c r="AX61" s="262">
        <v>0</v>
      </c>
      <c r="AY61" s="95">
        <v>0</v>
      </c>
      <c r="AZ61" s="42">
        <f t="shared" si="63"/>
        <v>1</v>
      </c>
      <c r="BA61" s="94">
        <v>9</v>
      </c>
      <c r="BB61" s="262">
        <v>1</v>
      </c>
      <c r="BC61" s="95">
        <v>0</v>
      </c>
      <c r="BD61" s="42">
        <f t="shared" si="64"/>
        <v>10</v>
      </c>
      <c r="BE61" s="94">
        <v>1</v>
      </c>
      <c r="BF61" s="262">
        <v>0</v>
      </c>
      <c r="BG61" s="95">
        <v>0</v>
      </c>
      <c r="BH61" s="42">
        <f t="shared" si="65"/>
        <v>1</v>
      </c>
      <c r="BI61" s="94">
        <v>0</v>
      </c>
      <c r="BJ61" s="262">
        <v>0</v>
      </c>
      <c r="BK61" s="95">
        <v>0</v>
      </c>
      <c r="BL61" s="42">
        <f t="shared" si="66"/>
        <v>0</v>
      </c>
      <c r="BM61" s="251"/>
      <c r="BN61" s="251"/>
      <c r="BO61" s="251"/>
      <c r="BP61" s="251"/>
      <c r="BQ61" s="251"/>
      <c r="BR61" s="251"/>
      <c r="BS61" s="251"/>
      <c r="BT61" s="251"/>
      <c r="BU61" s="251"/>
    </row>
    <row r="62" spans="2:73" ht="24.95" customHeight="1">
      <c r="B62" s="37">
        <f t="shared" si="67"/>
        <v>0.31250004999999992</v>
      </c>
      <c r="C62" s="38" t="s">
        <v>9</v>
      </c>
      <c r="D62" s="39">
        <f t="shared" si="68"/>
        <v>0.3229167249999999</v>
      </c>
      <c r="E62" s="94">
        <v>3</v>
      </c>
      <c r="F62" s="262">
        <v>0</v>
      </c>
      <c r="G62" s="95">
        <v>0</v>
      </c>
      <c r="H62" s="42">
        <f t="shared" si="52"/>
        <v>3</v>
      </c>
      <c r="I62" s="94">
        <v>38</v>
      </c>
      <c r="J62" s="262">
        <v>3</v>
      </c>
      <c r="K62" s="95">
        <v>0</v>
      </c>
      <c r="L62" s="42">
        <f t="shared" si="53"/>
        <v>41</v>
      </c>
      <c r="M62" s="94">
        <v>1</v>
      </c>
      <c r="N62" s="262">
        <v>1</v>
      </c>
      <c r="O62" s="95">
        <v>0</v>
      </c>
      <c r="P62" s="42">
        <f t="shared" si="54"/>
        <v>2</v>
      </c>
      <c r="Q62" s="94">
        <v>7</v>
      </c>
      <c r="R62" s="262">
        <v>0</v>
      </c>
      <c r="S62" s="95">
        <v>0</v>
      </c>
      <c r="T62" s="42">
        <f t="shared" si="55"/>
        <v>7</v>
      </c>
      <c r="U62" s="94">
        <v>1</v>
      </c>
      <c r="V62" s="262">
        <v>0</v>
      </c>
      <c r="W62" s="95">
        <v>0</v>
      </c>
      <c r="X62" s="42">
        <f t="shared" si="56"/>
        <v>1</v>
      </c>
      <c r="Y62" s="94">
        <v>0</v>
      </c>
      <c r="Z62" s="262">
        <v>0</v>
      </c>
      <c r="AA62" s="95">
        <v>0</v>
      </c>
      <c r="AB62" s="42">
        <f t="shared" si="57"/>
        <v>0</v>
      </c>
      <c r="AC62" s="94">
        <v>28</v>
      </c>
      <c r="AD62" s="262">
        <v>0</v>
      </c>
      <c r="AE62" s="95">
        <v>0</v>
      </c>
      <c r="AF62" s="42">
        <f t="shared" si="58"/>
        <v>28</v>
      </c>
      <c r="AG62" s="94">
        <v>22</v>
      </c>
      <c r="AH62" s="262">
        <v>1</v>
      </c>
      <c r="AI62" s="95">
        <v>4</v>
      </c>
      <c r="AJ62" s="42">
        <f t="shared" si="59"/>
        <v>27</v>
      </c>
      <c r="AK62" s="94">
        <v>1</v>
      </c>
      <c r="AL62" s="262">
        <v>0</v>
      </c>
      <c r="AM62" s="95">
        <v>0</v>
      </c>
      <c r="AN62" s="42">
        <f t="shared" si="60"/>
        <v>1</v>
      </c>
      <c r="AO62" s="94">
        <v>0</v>
      </c>
      <c r="AP62" s="262">
        <v>0</v>
      </c>
      <c r="AQ62" s="95">
        <v>0</v>
      </c>
      <c r="AR62" s="42">
        <f t="shared" si="61"/>
        <v>0</v>
      </c>
      <c r="AS62" s="94">
        <v>20</v>
      </c>
      <c r="AT62" s="262">
        <v>0</v>
      </c>
      <c r="AU62" s="95">
        <v>0</v>
      </c>
      <c r="AV62" s="42">
        <f t="shared" si="62"/>
        <v>20</v>
      </c>
      <c r="AW62" s="94">
        <v>16</v>
      </c>
      <c r="AX62" s="262">
        <v>0</v>
      </c>
      <c r="AY62" s="95">
        <v>0</v>
      </c>
      <c r="AZ62" s="42">
        <f t="shared" si="63"/>
        <v>16</v>
      </c>
      <c r="BA62" s="94">
        <v>8</v>
      </c>
      <c r="BB62" s="262">
        <v>1</v>
      </c>
      <c r="BC62" s="95">
        <v>0</v>
      </c>
      <c r="BD62" s="42">
        <f t="shared" si="64"/>
        <v>9</v>
      </c>
      <c r="BE62" s="94">
        <v>3</v>
      </c>
      <c r="BF62" s="262">
        <v>0</v>
      </c>
      <c r="BG62" s="95">
        <v>0</v>
      </c>
      <c r="BH62" s="42">
        <f t="shared" si="65"/>
        <v>3</v>
      </c>
      <c r="BI62" s="94">
        <v>0</v>
      </c>
      <c r="BJ62" s="262">
        <v>0</v>
      </c>
      <c r="BK62" s="95">
        <v>0</v>
      </c>
      <c r="BL62" s="42">
        <f t="shared" si="66"/>
        <v>0</v>
      </c>
      <c r="BM62" s="251"/>
      <c r="BN62" s="251"/>
      <c r="BO62" s="251"/>
      <c r="BP62" s="251"/>
      <c r="BQ62" s="251"/>
      <c r="BR62" s="251"/>
      <c r="BS62" s="251"/>
      <c r="BT62" s="251"/>
      <c r="BU62" s="251"/>
    </row>
    <row r="63" spans="2:73" ht="24.95" customHeight="1">
      <c r="B63" s="37">
        <f t="shared" si="67"/>
        <v>0.3229167249999999</v>
      </c>
      <c r="C63" s="38" t="s">
        <v>9</v>
      </c>
      <c r="D63" s="47">
        <f t="shared" si="68"/>
        <v>0.33333339999999989</v>
      </c>
      <c r="E63" s="94">
        <v>7</v>
      </c>
      <c r="F63" s="262">
        <v>0</v>
      </c>
      <c r="G63" s="95">
        <v>0</v>
      </c>
      <c r="H63" s="42">
        <f t="shared" si="52"/>
        <v>7</v>
      </c>
      <c r="I63" s="94">
        <v>54</v>
      </c>
      <c r="J63" s="262">
        <v>2</v>
      </c>
      <c r="K63" s="95">
        <v>0</v>
      </c>
      <c r="L63" s="42">
        <f t="shared" si="53"/>
        <v>56</v>
      </c>
      <c r="M63" s="94">
        <v>1</v>
      </c>
      <c r="N63" s="262">
        <v>0</v>
      </c>
      <c r="O63" s="95">
        <v>0</v>
      </c>
      <c r="P63" s="42">
        <f t="shared" si="54"/>
        <v>1</v>
      </c>
      <c r="Q63" s="94">
        <v>11</v>
      </c>
      <c r="R63" s="262">
        <v>1</v>
      </c>
      <c r="S63" s="95">
        <v>0</v>
      </c>
      <c r="T63" s="42">
        <f t="shared" si="55"/>
        <v>12</v>
      </c>
      <c r="U63" s="94">
        <v>0</v>
      </c>
      <c r="V63" s="262">
        <v>0</v>
      </c>
      <c r="W63" s="95">
        <v>0</v>
      </c>
      <c r="X63" s="42">
        <f t="shared" si="56"/>
        <v>0</v>
      </c>
      <c r="Y63" s="94">
        <v>6</v>
      </c>
      <c r="Z63" s="262">
        <v>1</v>
      </c>
      <c r="AA63" s="95">
        <v>0</v>
      </c>
      <c r="AB63" s="42">
        <f t="shared" si="57"/>
        <v>7</v>
      </c>
      <c r="AC63" s="94">
        <v>40</v>
      </c>
      <c r="AD63" s="262">
        <v>1</v>
      </c>
      <c r="AE63" s="95">
        <v>0</v>
      </c>
      <c r="AF63" s="42">
        <f t="shared" si="58"/>
        <v>41</v>
      </c>
      <c r="AG63" s="94">
        <v>37</v>
      </c>
      <c r="AH63" s="262">
        <v>3</v>
      </c>
      <c r="AI63" s="95">
        <v>5</v>
      </c>
      <c r="AJ63" s="42">
        <f t="shared" si="59"/>
        <v>45</v>
      </c>
      <c r="AK63" s="94">
        <v>0</v>
      </c>
      <c r="AL63" s="262">
        <v>0</v>
      </c>
      <c r="AM63" s="95">
        <v>0</v>
      </c>
      <c r="AN63" s="42">
        <f t="shared" si="60"/>
        <v>0</v>
      </c>
      <c r="AO63" s="94">
        <v>0</v>
      </c>
      <c r="AP63" s="262">
        <v>0</v>
      </c>
      <c r="AQ63" s="95">
        <v>0</v>
      </c>
      <c r="AR63" s="42">
        <f t="shared" si="61"/>
        <v>0</v>
      </c>
      <c r="AS63" s="94">
        <v>34</v>
      </c>
      <c r="AT63" s="262">
        <v>0</v>
      </c>
      <c r="AU63" s="95">
        <v>0</v>
      </c>
      <c r="AV63" s="42">
        <f t="shared" si="62"/>
        <v>34</v>
      </c>
      <c r="AW63" s="94">
        <v>11</v>
      </c>
      <c r="AX63" s="262">
        <v>2</v>
      </c>
      <c r="AY63" s="95">
        <v>0</v>
      </c>
      <c r="AZ63" s="42">
        <f t="shared" si="63"/>
        <v>13</v>
      </c>
      <c r="BA63" s="94">
        <v>4</v>
      </c>
      <c r="BB63" s="262">
        <v>0</v>
      </c>
      <c r="BC63" s="95">
        <v>0</v>
      </c>
      <c r="BD63" s="42">
        <f t="shared" si="64"/>
        <v>4</v>
      </c>
      <c r="BE63" s="94">
        <v>2</v>
      </c>
      <c r="BF63" s="262">
        <v>0</v>
      </c>
      <c r="BG63" s="95">
        <v>0</v>
      </c>
      <c r="BH63" s="42">
        <f t="shared" si="65"/>
        <v>2</v>
      </c>
      <c r="BI63" s="94">
        <v>0</v>
      </c>
      <c r="BJ63" s="262">
        <v>0</v>
      </c>
      <c r="BK63" s="95">
        <v>0</v>
      </c>
      <c r="BL63" s="42">
        <f t="shared" si="66"/>
        <v>0</v>
      </c>
      <c r="BM63" s="251"/>
      <c r="BN63" s="251"/>
      <c r="BO63" s="251"/>
      <c r="BP63" s="251"/>
      <c r="BQ63" s="251"/>
      <c r="BR63" s="251"/>
      <c r="BS63" s="251"/>
      <c r="BT63" s="251"/>
      <c r="BU63" s="251"/>
    </row>
    <row r="64" spans="2:73" ht="24.95" customHeight="1">
      <c r="B64" s="37">
        <f t="shared" ref="B64:B65" si="69">+D63</f>
        <v>0.33333339999999989</v>
      </c>
      <c r="C64" s="38" t="s">
        <v>9</v>
      </c>
      <c r="D64" s="47">
        <f t="shared" ref="D64:D65" si="70">SUM(0.0416667/4)+B64</f>
        <v>0.34375007499999988</v>
      </c>
      <c r="E64" s="94">
        <v>10</v>
      </c>
      <c r="F64" s="262">
        <v>0</v>
      </c>
      <c r="G64" s="95">
        <v>0</v>
      </c>
      <c r="H64" s="42">
        <f t="shared" si="52"/>
        <v>10</v>
      </c>
      <c r="I64" s="94">
        <v>54</v>
      </c>
      <c r="J64" s="262">
        <v>0</v>
      </c>
      <c r="K64" s="95">
        <v>1</v>
      </c>
      <c r="L64" s="42">
        <f t="shared" si="53"/>
        <v>55</v>
      </c>
      <c r="M64" s="94">
        <v>0</v>
      </c>
      <c r="N64" s="262">
        <v>0</v>
      </c>
      <c r="O64" s="95">
        <v>0</v>
      </c>
      <c r="P64" s="42">
        <f t="shared" si="54"/>
        <v>0</v>
      </c>
      <c r="Q64" s="94">
        <v>8</v>
      </c>
      <c r="R64" s="262">
        <v>0</v>
      </c>
      <c r="S64" s="95">
        <v>0</v>
      </c>
      <c r="T64" s="42">
        <f t="shared" si="55"/>
        <v>8</v>
      </c>
      <c r="U64" s="94">
        <v>2</v>
      </c>
      <c r="V64" s="262">
        <v>0</v>
      </c>
      <c r="W64" s="95">
        <v>0</v>
      </c>
      <c r="X64" s="42">
        <f t="shared" si="56"/>
        <v>2</v>
      </c>
      <c r="Y64" s="94">
        <v>5</v>
      </c>
      <c r="Z64" s="262">
        <v>1</v>
      </c>
      <c r="AA64" s="95">
        <v>0</v>
      </c>
      <c r="AB64" s="42">
        <f t="shared" si="57"/>
        <v>6</v>
      </c>
      <c r="AC64" s="94">
        <v>38</v>
      </c>
      <c r="AD64" s="262">
        <v>0</v>
      </c>
      <c r="AE64" s="95">
        <v>0</v>
      </c>
      <c r="AF64" s="42">
        <f t="shared" si="58"/>
        <v>38</v>
      </c>
      <c r="AG64" s="94">
        <v>35</v>
      </c>
      <c r="AH64" s="262">
        <v>2</v>
      </c>
      <c r="AI64" s="95">
        <v>5</v>
      </c>
      <c r="AJ64" s="42">
        <f t="shared" si="59"/>
        <v>42</v>
      </c>
      <c r="AK64" s="94">
        <v>2</v>
      </c>
      <c r="AL64" s="262">
        <v>0</v>
      </c>
      <c r="AM64" s="95">
        <v>0</v>
      </c>
      <c r="AN64" s="42">
        <f t="shared" si="60"/>
        <v>2</v>
      </c>
      <c r="AO64" s="94">
        <v>0</v>
      </c>
      <c r="AP64" s="262">
        <v>0</v>
      </c>
      <c r="AQ64" s="95">
        <v>0</v>
      </c>
      <c r="AR64" s="42">
        <f t="shared" si="61"/>
        <v>0</v>
      </c>
      <c r="AS64" s="94">
        <v>31</v>
      </c>
      <c r="AT64" s="262">
        <v>0</v>
      </c>
      <c r="AU64" s="95">
        <v>0</v>
      </c>
      <c r="AV64" s="42">
        <f t="shared" si="62"/>
        <v>31</v>
      </c>
      <c r="AW64" s="94">
        <v>30</v>
      </c>
      <c r="AX64" s="262">
        <v>0</v>
      </c>
      <c r="AY64" s="95">
        <v>0</v>
      </c>
      <c r="AZ64" s="42">
        <f t="shared" si="63"/>
        <v>30</v>
      </c>
      <c r="BA64" s="94">
        <v>7</v>
      </c>
      <c r="BB64" s="262">
        <v>0</v>
      </c>
      <c r="BC64" s="95">
        <v>0</v>
      </c>
      <c r="BD64" s="42">
        <f t="shared" si="64"/>
        <v>7</v>
      </c>
      <c r="BE64" s="94">
        <v>0</v>
      </c>
      <c r="BF64" s="262">
        <v>0</v>
      </c>
      <c r="BG64" s="95">
        <v>0</v>
      </c>
      <c r="BH64" s="42">
        <f t="shared" si="65"/>
        <v>0</v>
      </c>
      <c r="BI64" s="94">
        <v>0</v>
      </c>
      <c r="BJ64" s="262">
        <v>0</v>
      </c>
      <c r="BK64" s="95">
        <v>0</v>
      </c>
      <c r="BL64" s="42">
        <f t="shared" si="66"/>
        <v>0</v>
      </c>
      <c r="BM64" s="251"/>
      <c r="BN64" s="251"/>
      <c r="BO64" s="251"/>
      <c r="BP64" s="251"/>
      <c r="BQ64" s="251"/>
      <c r="BR64" s="251"/>
      <c r="BS64" s="251"/>
      <c r="BT64" s="251"/>
      <c r="BU64" s="251"/>
    </row>
    <row r="65" spans="2:73" ht="24.95" customHeight="1">
      <c r="B65" s="37">
        <f t="shared" si="69"/>
        <v>0.34375007499999988</v>
      </c>
      <c r="C65" s="38" t="s">
        <v>9</v>
      </c>
      <c r="D65" s="47">
        <f t="shared" si="70"/>
        <v>0.35416674999999986</v>
      </c>
      <c r="E65" s="94">
        <v>15</v>
      </c>
      <c r="F65" s="262">
        <v>0</v>
      </c>
      <c r="G65" s="95">
        <v>0</v>
      </c>
      <c r="H65" s="42">
        <f t="shared" si="52"/>
        <v>15</v>
      </c>
      <c r="I65" s="94">
        <v>71</v>
      </c>
      <c r="J65" s="262">
        <v>1</v>
      </c>
      <c r="K65" s="95">
        <v>0</v>
      </c>
      <c r="L65" s="42">
        <f t="shared" si="53"/>
        <v>72</v>
      </c>
      <c r="M65" s="94">
        <v>3</v>
      </c>
      <c r="N65" s="262">
        <v>0</v>
      </c>
      <c r="O65" s="95">
        <v>0</v>
      </c>
      <c r="P65" s="42">
        <f t="shared" si="54"/>
        <v>3</v>
      </c>
      <c r="Q65" s="94">
        <v>14</v>
      </c>
      <c r="R65" s="262">
        <v>0</v>
      </c>
      <c r="S65" s="95">
        <v>0</v>
      </c>
      <c r="T65" s="42">
        <f t="shared" si="55"/>
        <v>14</v>
      </c>
      <c r="U65" s="94">
        <v>0</v>
      </c>
      <c r="V65" s="262">
        <v>0</v>
      </c>
      <c r="W65" s="95">
        <v>0</v>
      </c>
      <c r="X65" s="42">
        <f t="shared" si="56"/>
        <v>0</v>
      </c>
      <c r="Y65" s="94">
        <v>8</v>
      </c>
      <c r="Z65" s="262">
        <v>0</v>
      </c>
      <c r="AA65" s="95">
        <v>0</v>
      </c>
      <c r="AB65" s="42">
        <f t="shared" si="57"/>
        <v>8</v>
      </c>
      <c r="AC65" s="94">
        <v>37</v>
      </c>
      <c r="AD65" s="262">
        <v>0</v>
      </c>
      <c r="AE65" s="95">
        <v>0</v>
      </c>
      <c r="AF65" s="42">
        <f t="shared" si="58"/>
        <v>37</v>
      </c>
      <c r="AG65" s="94">
        <v>52</v>
      </c>
      <c r="AH65" s="262">
        <v>1</v>
      </c>
      <c r="AI65" s="95">
        <v>9</v>
      </c>
      <c r="AJ65" s="42">
        <f t="shared" si="59"/>
        <v>62</v>
      </c>
      <c r="AK65" s="94">
        <v>3</v>
      </c>
      <c r="AL65" s="262">
        <v>0</v>
      </c>
      <c r="AM65" s="95">
        <v>0</v>
      </c>
      <c r="AN65" s="42">
        <f t="shared" si="60"/>
        <v>3</v>
      </c>
      <c r="AO65" s="94">
        <v>1</v>
      </c>
      <c r="AP65" s="262">
        <v>0</v>
      </c>
      <c r="AQ65" s="95">
        <v>0</v>
      </c>
      <c r="AR65" s="42">
        <f t="shared" si="61"/>
        <v>1</v>
      </c>
      <c r="AS65" s="94">
        <v>24</v>
      </c>
      <c r="AT65" s="262">
        <v>0</v>
      </c>
      <c r="AU65" s="95">
        <v>0</v>
      </c>
      <c r="AV65" s="42">
        <f t="shared" si="62"/>
        <v>24</v>
      </c>
      <c r="AW65" s="94">
        <v>14</v>
      </c>
      <c r="AX65" s="262">
        <v>0</v>
      </c>
      <c r="AY65" s="95">
        <v>0</v>
      </c>
      <c r="AZ65" s="42">
        <f t="shared" si="63"/>
        <v>14</v>
      </c>
      <c r="BA65" s="94">
        <v>9</v>
      </c>
      <c r="BB65" s="262">
        <v>0</v>
      </c>
      <c r="BC65" s="95">
        <v>0</v>
      </c>
      <c r="BD65" s="42">
        <f t="shared" si="64"/>
        <v>9</v>
      </c>
      <c r="BE65" s="94">
        <v>4</v>
      </c>
      <c r="BF65" s="262">
        <v>0</v>
      </c>
      <c r="BG65" s="95">
        <v>0</v>
      </c>
      <c r="BH65" s="42">
        <f t="shared" si="65"/>
        <v>4</v>
      </c>
      <c r="BI65" s="94">
        <v>0</v>
      </c>
      <c r="BJ65" s="262">
        <v>0</v>
      </c>
      <c r="BK65" s="95">
        <v>0</v>
      </c>
      <c r="BL65" s="42">
        <f t="shared" si="66"/>
        <v>0</v>
      </c>
      <c r="BM65" s="251"/>
      <c r="BN65" s="251"/>
      <c r="BO65" s="251"/>
      <c r="BP65" s="251"/>
      <c r="BQ65" s="251"/>
      <c r="BR65" s="251"/>
      <c r="BS65" s="251"/>
      <c r="BT65" s="251"/>
      <c r="BU65" s="251"/>
    </row>
    <row r="66" spans="2:73" ht="24.95" customHeight="1">
      <c r="B66" s="37">
        <f t="shared" ref="B66:B71" si="71">+D65</f>
        <v>0.35416674999999986</v>
      </c>
      <c r="C66" s="38" t="s">
        <v>9</v>
      </c>
      <c r="D66" s="47">
        <f t="shared" ref="D66:D71" si="72">SUM(0.0416667/4)+B66</f>
        <v>0.36458342499999985</v>
      </c>
      <c r="E66" s="94">
        <v>12</v>
      </c>
      <c r="F66" s="262">
        <v>1</v>
      </c>
      <c r="G66" s="95">
        <v>0</v>
      </c>
      <c r="H66" s="42">
        <f t="shared" si="52"/>
        <v>13</v>
      </c>
      <c r="I66" s="94">
        <v>65</v>
      </c>
      <c r="J66" s="262">
        <v>2</v>
      </c>
      <c r="K66" s="95">
        <v>0</v>
      </c>
      <c r="L66" s="42">
        <f t="shared" si="53"/>
        <v>67</v>
      </c>
      <c r="M66" s="94">
        <v>2</v>
      </c>
      <c r="N66" s="262">
        <v>0</v>
      </c>
      <c r="O66" s="95">
        <v>0</v>
      </c>
      <c r="P66" s="42">
        <f t="shared" si="54"/>
        <v>2</v>
      </c>
      <c r="Q66" s="94">
        <v>13</v>
      </c>
      <c r="R66" s="262">
        <v>0</v>
      </c>
      <c r="S66" s="95">
        <v>0</v>
      </c>
      <c r="T66" s="42">
        <f t="shared" si="55"/>
        <v>13</v>
      </c>
      <c r="U66" s="94">
        <v>1</v>
      </c>
      <c r="V66" s="262">
        <v>0</v>
      </c>
      <c r="W66" s="95">
        <v>0</v>
      </c>
      <c r="X66" s="42">
        <f t="shared" si="56"/>
        <v>1</v>
      </c>
      <c r="Y66" s="94">
        <v>12</v>
      </c>
      <c r="Z66" s="262">
        <v>0</v>
      </c>
      <c r="AA66" s="95">
        <v>0</v>
      </c>
      <c r="AB66" s="42">
        <f t="shared" si="57"/>
        <v>12</v>
      </c>
      <c r="AC66" s="94">
        <v>36</v>
      </c>
      <c r="AD66" s="262">
        <v>1</v>
      </c>
      <c r="AE66" s="95">
        <v>0</v>
      </c>
      <c r="AF66" s="42">
        <f t="shared" si="58"/>
        <v>37</v>
      </c>
      <c r="AG66" s="94">
        <v>55</v>
      </c>
      <c r="AH66" s="262">
        <v>2</v>
      </c>
      <c r="AI66" s="95">
        <v>5</v>
      </c>
      <c r="AJ66" s="42">
        <f t="shared" si="59"/>
        <v>62</v>
      </c>
      <c r="AK66" s="94">
        <v>2</v>
      </c>
      <c r="AL66" s="262">
        <v>0</v>
      </c>
      <c r="AM66" s="95">
        <v>0</v>
      </c>
      <c r="AN66" s="42">
        <f t="shared" si="60"/>
        <v>2</v>
      </c>
      <c r="AO66" s="94">
        <v>0</v>
      </c>
      <c r="AP66" s="262">
        <v>0</v>
      </c>
      <c r="AQ66" s="95">
        <v>0</v>
      </c>
      <c r="AR66" s="42">
        <f t="shared" si="61"/>
        <v>0</v>
      </c>
      <c r="AS66" s="94">
        <v>12</v>
      </c>
      <c r="AT66" s="262">
        <v>0</v>
      </c>
      <c r="AU66" s="95">
        <v>0</v>
      </c>
      <c r="AV66" s="42">
        <f t="shared" si="62"/>
        <v>12</v>
      </c>
      <c r="AW66" s="94">
        <v>8</v>
      </c>
      <c r="AX66" s="262">
        <v>0</v>
      </c>
      <c r="AY66" s="95">
        <v>0</v>
      </c>
      <c r="AZ66" s="42">
        <f t="shared" si="63"/>
        <v>8</v>
      </c>
      <c r="BA66" s="94">
        <v>5</v>
      </c>
      <c r="BB66" s="262">
        <v>0</v>
      </c>
      <c r="BC66" s="95">
        <v>0</v>
      </c>
      <c r="BD66" s="42">
        <f t="shared" si="64"/>
        <v>5</v>
      </c>
      <c r="BE66" s="94">
        <v>4</v>
      </c>
      <c r="BF66" s="262">
        <v>0</v>
      </c>
      <c r="BG66" s="95">
        <v>0</v>
      </c>
      <c r="BH66" s="42">
        <f t="shared" si="65"/>
        <v>4</v>
      </c>
      <c r="BI66" s="94">
        <v>0</v>
      </c>
      <c r="BJ66" s="262">
        <v>0</v>
      </c>
      <c r="BK66" s="95">
        <v>0</v>
      </c>
      <c r="BL66" s="42">
        <f t="shared" si="66"/>
        <v>0</v>
      </c>
      <c r="BM66" s="251"/>
      <c r="BN66" s="251"/>
      <c r="BO66" s="251"/>
      <c r="BP66" s="251"/>
      <c r="BQ66" s="251"/>
      <c r="BR66" s="251"/>
      <c r="BS66" s="251"/>
      <c r="BT66" s="251"/>
      <c r="BU66" s="251"/>
    </row>
    <row r="67" spans="2:73" ht="24.95" customHeight="1">
      <c r="B67" s="37">
        <f t="shared" si="71"/>
        <v>0.36458342499999985</v>
      </c>
      <c r="C67" s="38" t="s">
        <v>9</v>
      </c>
      <c r="D67" s="47">
        <f t="shared" si="72"/>
        <v>0.37500009999999984</v>
      </c>
      <c r="E67" s="94">
        <v>16</v>
      </c>
      <c r="F67" s="262">
        <v>0</v>
      </c>
      <c r="G67" s="95">
        <v>0</v>
      </c>
      <c r="H67" s="42">
        <f t="shared" si="52"/>
        <v>16</v>
      </c>
      <c r="I67" s="94">
        <v>87</v>
      </c>
      <c r="J67" s="262">
        <v>2</v>
      </c>
      <c r="K67" s="95">
        <v>0</v>
      </c>
      <c r="L67" s="42">
        <f t="shared" si="53"/>
        <v>89</v>
      </c>
      <c r="M67" s="94">
        <v>3</v>
      </c>
      <c r="N67" s="262">
        <v>0</v>
      </c>
      <c r="O67" s="95">
        <v>0</v>
      </c>
      <c r="P67" s="42">
        <f t="shared" si="54"/>
        <v>3</v>
      </c>
      <c r="Q67" s="94">
        <v>22</v>
      </c>
      <c r="R67" s="262">
        <v>0</v>
      </c>
      <c r="S67" s="95">
        <v>0</v>
      </c>
      <c r="T67" s="42">
        <f t="shared" si="55"/>
        <v>22</v>
      </c>
      <c r="U67" s="94">
        <v>1</v>
      </c>
      <c r="V67" s="262">
        <v>0</v>
      </c>
      <c r="W67" s="95">
        <v>0</v>
      </c>
      <c r="X67" s="42">
        <f t="shared" si="56"/>
        <v>1</v>
      </c>
      <c r="Y67" s="94">
        <v>12</v>
      </c>
      <c r="Z67" s="262">
        <v>0</v>
      </c>
      <c r="AA67" s="95">
        <v>0</v>
      </c>
      <c r="AB67" s="42">
        <f t="shared" si="57"/>
        <v>12</v>
      </c>
      <c r="AC67" s="94">
        <v>59</v>
      </c>
      <c r="AD67" s="262">
        <v>3</v>
      </c>
      <c r="AE67" s="95">
        <v>0</v>
      </c>
      <c r="AF67" s="42">
        <f t="shared" si="58"/>
        <v>62</v>
      </c>
      <c r="AG67" s="94">
        <v>42</v>
      </c>
      <c r="AH67" s="262">
        <v>1</v>
      </c>
      <c r="AI67" s="95">
        <v>6</v>
      </c>
      <c r="AJ67" s="42">
        <f t="shared" si="59"/>
        <v>49</v>
      </c>
      <c r="AK67" s="94">
        <v>8</v>
      </c>
      <c r="AL67" s="262">
        <v>0</v>
      </c>
      <c r="AM67" s="95">
        <v>0</v>
      </c>
      <c r="AN67" s="42">
        <f t="shared" si="60"/>
        <v>8</v>
      </c>
      <c r="AO67" s="94">
        <v>1</v>
      </c>
      <c r="AP67" s="262">
        <v>0</v>
      </c>
      <c r="AQ67" s="95">
        <v>0</v>
      </c>
      <c r="AR67" s="42">
        <f t="shared" si="61"/>
        <v>1</v>
      </c>
      <c r="AS67" s="94">
        <v>6</v>
      </c>
      <c r="AT67" s="262">
        <v>0</v>
      </c>
      <c r="AU67" s="95">
        <v>0</v>
      </c>
      <c r="AV67" s="42">
        <f t="shared" si="62"/>
        <v>6</v>
      </c>
      <c r="AW67" s="94">
        <v>7</v>
      </c>
      <c r="AX67" s="262">
        <v>0</v>
      </c>
      <c r="AY67" s="95">
        <v>0</v>
      </c>
      <c r="AZ67" s="42">
        <f t="shared" si="63"/>
        <v>7</v>
      </c>
      <c r="BA67" s="94">
        <v>5</v>
      </c>
      <c r="BB67" s="262">
        <v>0</v>
      </c>
      <c r="BC67" s="95">
        <v>0</v>
      </c>
      <c r="BD67" s="42">
        <f t="shared" si="64"/>
        <v>5</v>
      </c>
      <c r="BE67" s="94">
        <v>3</v>
      </c>
      <c r="BF67" s="262">
        <v>0</v>
      </c>
      <c r="BG67" s="95">
        <v>0</v>
      </c>
      <c r="BH67" s="42">
        <f t="shared" si="65"/>
        <v>3</v>
      </c>
      <c r="BI67" s="94">
        <v>0</v>
      </c>
      <c r="BJ67" s="262">
        <v>0</v>
      </c>
      <c r="BK67" s="95">
        <v>0</v>
      </c>
      <c r="BL67" s="42">
        <f t="shared" si="66"/>
        <v>0</v>
      </c>
      <c r="BM67" s="251"/>
      <c r="BN67" s="251"/>
      <c r="BO67" s="251"/>
      <c r="BP67" s="251"/>
      <c r="BQ67" s="251"/>
      <c r="BR67" s="251"/>
      <c r="BS67" s="251"/>
      <c r="BT67" s="251"/>
      <c r="BU67" s="251"/>
    </row>
    <row r="68" spans="2:73" ht="24.95" customHeight="1">
      <c r="B68" s="37">
        <f t="shared" si="71"/>
        <v>0.37500009999999984</v>
      </c>
      <c r="C68" s="38" t="s">
        <v>9</v>
      </c>
      <c r="D68" s="47">
        <f t="shared" si="72"/>
        <v>0.38541677499999982</v>
      </c>
      <c r="E68" s="94">
        <v>7</v>
      </c>
      <c r="F68" s="262">
        <v>1</v>
      </c>
      <c r="G68" s="95">
        <v>0</v>
      </c>
      <c r="H68" s="42">
        <f t="shared" si="52"/>
        <v>8</v>
      </c>
      <c r="I68" s="94">
        <v>77</v>
      </c>
      <c r="J68" s="262">
        <v>3</v>
      </c>
      <c r="K68" s="95">
        <v>0</v>
      </c>
      <c r="L68" s="42">
        <f t="shared" si="53"/>
        <v>80</v>
      </c>
      <c r="M68" s="94">
        <v>3</v>
      </c>
      <c r="N68" s="262">
        <v>0</v>
      </c>
      <c r="O68" s="95">
        <v>0</v>
      </c>
      <c r="P68" s="42">
        <f t="shared" si="54"/>
        <v>3</v>
      </c>
      <c r="Q68" s="94">
        <v>10</v>
      </c>
      <c r="R68" s="262">
        <v>0</v>
      </c>
      <c r="S68" s="95">
        <v>0</v>
      </c>
      <c r="T68" s="42">
        <f t="shared" si="55"/>
        <v>10</v>
      </c>
      <c r="U68" s="94">
        <v>0</v>
      </c>
      <c r="V68" s="262">
        <v>0</v>
      </c>
      <c r="W68" s="95">
        <v>0</v>
      </c>
      <c r="X68" s="42">
        <f t="shared" si="56"/>
        <v>0</v>
      </c>
      <c r="Y68" s="94">
        <v>9</v>
      </c>
      <c r="Z68" s="262">
        <v>1</v>
      </c>
      <c r="AA68" s="95">
        <v>0</v>
      </c>
      <c r="AB68" s="42">
        <f t="shared" si="57"/>
        <v>10</v>
      </c>
      <c r="AC68" s="94">
        <v>35</v>
      </c>
      <c r="AD68" s="262">
        <v>1</v>
      </c>
      <c r="AE68" s="95">
        <v>0</v>
      </c>
      <c r="AF68" s="42">
        <f t="shared" si="58"/>
        <v>36</v>
      </c>
      <c r="AG68" s="94">
        <v>70</v>
      </c>
      <c r="AH68" s="262">
        <v>2</v>
      </c>
      <c r="AI68" s="95">
        <v>9</v>
      </c>
      <c r="AJ68" s="42">
        <f t="shared" si="59"/>
        <v>81</v>
      </c>
      <c r="AK68" s="94">
        <v>8</v>
      </c>
      <c r="AL68" s="262">
        <v>0</v>
      </c>
      <c r="AM68" s="95">
        <v>0</v>
      </c>
      <c r="AN68" s="42">
        <f t="shared" si="60"/>
        <v>8</v>
      </c>
      <c r="AO68" s="94">
        <v>1</v>
      </c>
      <c r="AP68" s="262">
        <v>0</v>
      </c>
      <c r="AQ68" s="95">
        <v>0</v>
      </c>
      <c r="AR68" s="42">
        <f t="shared" si="61"/>
        <v>1</v>
      </c>
      <c r="AS68" s="94">
        <v>8</v>
      </c>
      <c r="AT68" s="262">
        <v>0</v>
      </c>
      <c r="AU68" s="95">
        <v>0</v>
      </c>
      <c r="AV68" s="42">
        <f t="shared" si="62"/>
        <v>8</v>
      </c>
      <c r="AW68" s="94">
        <v>6</v>
      </c>
      <c r="AX68" s="262">
        <v>0</v>
      </c>
      <c r="AY68" s="95">
        <v>0</v>
      </c>
      <c r="AZ68" s="42">
        <f t="shared" si="63"/>
        <v>6</v>
      </c>
      <c r="BA68" s="94">
        <v>5</v>
      </c>
      <c r="BB68" s="262">
        <v>0</v>
      </c>
      <c r="BC68" s="95">
        <v>0</v>
      </c>
      <c r="BD68" s="42">
        <f t="shared" si="64"/>
        <v>5</v>
      </c>
      <c r="BE68" s="94">
        <v>3</v>
      </c>
      <c r="BF68" s="262">
        <v>2</v>
      </c>
      <c r="BG68" s="95">
        <v>0</v>
      </c>
      <c r="BH68" s="42">
        <f t="shared" si="65"/>
        <v>5</v>
      </c>
      <c r="BI68" s="94">
        <v>0</v>
      </c>
      <c r="BJ68" s="262">
        <v>0</v>
      </c>
      <c r="BK68" s="95">
        <v>0</v>
      </c>
      <c r="BL68" s="42">
        <f t="shared" si="66"/>
        <v>0</v>
      </c>
      <c r="BM68" s="251"/>
      <c r="BN68" s="251"/>
      <c r="BO68" s="251"/>
      <c r="BP68" s="251"/>
      <c r="BQ68" s="251"/>
      <c r="BR68" s="251"/>
      <c r="BS68" s="251"/>
      <c r="BT68" s="251"/>
      <c r="BU68" s="251"/>
    </row>
    <row r="69" spans="2:73" ht="24.95" customHeight="1">
      <c r="B69" s="37">
        <f t="shared" si="71"/>
        <v>0.38541677499999982</v>
      </c>
      <c r="C69" s="38" t="s">
        <v>9</v>
      </c>
      <c r="D69" s="47">
        <f t="shared" si="72"/>
        <v>0.39583344999999981</v>
      </c>
      <c r="E69" s="94">
        <v>14</v>
      </c>
      <c r="F69" s="262">
        <v>1</v>
      </c>
      <c r="G69" s="95">
        <v>0</v>
      </c>
      <c r="H69" s="42">
        <f t="shared" si="52"/>
        <v>15</v>
      </c>
      <c r="I69" s="94">
        <v>69</v>
      </c>
      <c r="J69" s="262">
        <v>1</v>
      </c>
      <c r="K69" s="95">
        <v>0</v>
      </c>
      <c r="L69" s="42">
        <f t="shared" si="53"/>
        <v>70</v>
      </c>
      <c r="M69" s="94">
        <v>5</v>
      </c>
      <c r="N69" s="262">
        <v>0</v>
      </c>
      <c r="O69" s="95">
        <v>0</v>
      </c>
      <c r="P69" s="42">
        <f t="shared" si="54"/>
        <v>5</v>
      </c>
      <c r="Q69" s="94">
        <v>7</v>
      </c>
      <c r="R69" s="262">
        <v>0</v>
      </c>
      <c r="S69" s="95">
        <v>0</v>
      </c>
      <c r="T69" s="42">
        <f t="shared" si="55"/>
        <v>7</v>
      </c>
      <c r="U69" s="94">
        <v>0</v>
      </c>
      <c r="V69" s="262">
        <v>0</v>
      </c>
      <c r="W69" s="95">
        <v>0</v>
      </c>
      <c r="X69" s="42">
        <f t="shared" si="56"/>
        <v>0</v>
      </c>
      <c r="Y69" s="94">
        <v>12</v>
      </c>
      <c r="Z69" s="262">
        <v>0</v>
      </c>
      <c r="AA69" s="95">
        <v>0</v>
      </c>
      <c r="AB69" s="42">
        <f t="shared" si="57"/>
        <v>12</v>
      </c>
      <c r="AC69" s="94">
        <v>34</v>
      </c>
      <c r="AD69" s="262">
        <v>2</v>
      </c>
      <c r="AE69" s="95">
        <v>0</v>
      </c>
      <c r="AF69" s="42">
        <f t="shared" si="58"/>
        <v>36</v>
      </c>
      <c r="AG69" s="94">
        <v>55</v>
      </c>
      <c r="AH69" s="262">
        <v>3</v>
      </c>
      <c r="AI69" s="95">
        <v>8</v>
      </c>
      <c r="AJ69" s="42">
        <f t="shared" si="59"/>
        <v>66</v>
      </c>
      <c r="AK69" s="94">
        <v>6</v>
      </c>
      <c r="AL69" s="262">
        <v>0</v>
      </c>
      <c r="AM69" s="95">
        <v>0</v>
      </c>
      <c r="AN69" s="42">
        <f t="shared" si="60"/>
        <v>6</v>
      </c>
      <c r="AO69" s="94">
        <v>2</v>
      </c>
      <c r="AP69" s="262">
        <v>0</v>
      </c>
      <c r="AQ69" s="95">
        <v>0</v>
      </c>
      <c r="AR69" s="42">
        <f t="shared" si="61"/>
        <v>2</v>
      </c>
      <c r="AS69" s="94">
        <v>6</v>
      </c>
      <c r="AT69" s="262">
        <v>0</v>
      </c>
      <c r="AU69" s="95">
        <v>0</v>
      </c>
      <c r="AV69" s="42">
        <f t="shared" si="62"/>
        <v>6</v>
      </c>
      <c r="AW69" s="94">
        <v>6</v>
      </c>
      <c r="AX69" s="262">
        <v>0</v>
      </c>
      <c r="AY69" s="95">
        <v>0</v>
      </c>
      <c r="AZ69" s="42">
        <f t="shared" si="63"/>
        <v>6</v>
      </c>
      <c r="BA69" s="94">
        <v>1</v>
      </c>
      <c r="BB69" s="262">
        <v>0</v>
      </c>
      <c r="BC69" s="95">
        <v>0</v>
      </c>
      <c r="BD69" s="42">
        <f t="shared" si="64"/>
        <v>1</v>
      </c>
      <c r="BE69" s="94">
        <v>2</v>
      </c>
      <c r="BF69" s="262">
        <v>0</v>
      </c>
      <c r="BG69" s="95">
        <v>0</v>
      </c>
      <c r="BH69" s="42">
        <f t="shared" si="65"/>
        <v>2</v>
      </c>
      <c r="BI69" s="94">
        <v>0</v>
      </c>
      <c r="BJ69" s="262">
        <v>0</v>
      </c>
      <c r="BK69" s="95">
        <v>0</v>
      </c>
      <c r="BL69" s="42">
        <f t="shared" si="66"/>
        <v>0</v>
      </c>
      <c r="BM69" s="251"/>
      <c r="BN69" s="251"/>
      <c r="BO69" s="251"/>
      <c r="BP69" s="251"/>
      <c r="BQ69" s="251"/>
      <c r="BR69" s="251"/>
      <c r="BS69" s="251"/>
      <c r="BT69" s="251"/>
      <c r="BU69" s="251"/>
    </row>
    <row r="70" spans="2:73" ht="24.95" customHeight="1">
      <c r="B70" s="37">
        <f t="shared" si="71"/>
        <v>0.39583344999999981</v>
      </c>
      <c r="C70" s="38" t="s">
        <v>9</v>
      </c>
      <c r="D70" s="47">
        <f t="shared" si="72"/>
        <v>0.4062501249999998</v>
      </c>
      <c r="E70" s="94">
        <v>9</v>
      </c>
      <c r="F70" s="262">
        <v>0</v>
      </c>
      <c r="G70" s="95">
        <v>0</v>
      </c>
      <c r="H70" s="42">
        <f t="shared" si="52"/>
        <v>9</v>
      </c>
      <c r="I70" s="94">
        <v>71</v>
      </c>
      <c r="J70" s="262">
        <v>1</v>
      </c>
      <c r="K70" s="95">
        <v>0</v>
      </c>
      <c r="L70" s="42">
        <f t="shared" si="53"/>
        <v>72</v>
      </c>
      <c r="M70" s="94">
        <v>3</v>
      </c>
      <c r="N70" s="262">
        <v>0</v>
      </c>
      <c r="O70" s="95">
        <v>0</v>
      </c>
      <c r="P70" s="42">
        <f t="shared" si="54"/>
        <v>3</v>
      </c>
      <c r="Q70" s="94">
        <v>4</v>
      </c>
      <c r="R70" s="262">
        <v>0</v>
      </c>
      <c r="S70" s="95">
        <v>0</v>
      </c>
      <c r="T70" s="42">
        <f t="shared" si="55"/>
        <v>4</v>
      </c>
      <c r="U70" s="94">
        <v>2</v>
      </c>
      <c r="V70" s="262">
        <v>0</v>
      </c>
      <c r="W70" s="95">
        <v>0</v>
      </c>
      <c r="X70" s="42">
        <f t="shared" si="56"/>
        <v>2</v>
      </c>
      <c r="Y70" s="94">
        <v>7</v>
      </c>
      <c r="Z70" s="262">
        <v>0</v>
      </c>
      <c r="AA70" s="95">
        <v>0</v>
      </c>
      <c r="AB70" s="42">
        <f t="shared" si="57"/>
        <v>7</v>
      </c>
      <c r="AC70" s="94">
        <v>32</v>
      </c>
      <c r="AD70" s="262">
        <v>1</v>
      </c>
      <c r="AE70" s="95">
        <v>0</v>
      </c>
      <c r="AF70" s="42">
        <f t="shared" si="58"/>
        <v>33</v>
      </c>
      <c r="AG70" s="94">
        <v>50</v>
      </c>
      <c r="AH70" s="262">
        <v>2</v>
      </c>
      <c r="AI70" s="95">
        <v>13</v>
      </c>
      <c r="AJ70" s="42">
        <f t="shared" si="59"/>
        <v>65</v>
      </c>
      <c r="AK70" s="94">
        <v>5</v>
      </c>
      <c r="AL70" s="262">
        <v>0</v>
      </c>
      <c r="AM70" s="95">
        <v>0</v>
      </c>
      <c r="AN70" s="42">
        <f t="shared" si="60"/>
        <v>5</v>
      </c>
      <c r="AO70" s="94">
        <v>1</v>
      </c>
      <c r="AP70" s="262">
        <v>0</v>
      </c>
      <c r="AQ70" s="95">
        <v>0</v>
      </c>
      <c r="AR70" s="42">
        <f t="shared" si="61"/>
        <v>1</v>
      </c>
      <c r="AS70" s="94">
        <v>2</v>
      </c>
      <c r="AT70" s="262">
        <v>0</v>
      </c>
      <c r="AU70" s="95">
        <v>0</v>
      </c>
      <c r="AV70" s="42">
        <f t="shared" si="62"/>
        <v>2</v>
      </c>
      <c r="AW70" s="94">
        <v>3</v>
      </c>
      <c r="AX70" s="262">
        <v>0</v>
      </c>
      <c r="AY70" s="95">
        <v>0</v>
      </c>
      <c r="AZ70" s="42">
        <f t="shared" si="63"/>
        <v>3</v>
      </c>
      <c r="BA70" s="94">
        <v>3</v>
      </c>
      <c r="BB70" s="262">
        <v>0</v>
      </c>
      <c r="BC70" s="95">
        <v>0</v>
      </c>
      <c r="BD70" s="42">
        <f t="shared" si="64"/>
        <v>3</v>
      </c>
      <c r="BE70" s="94">
        <v>1</v>
      </c>
      <c r="BF70" s="262">
        <v>0</v>
      </c>
      <c r="BG70" s="95">
        <v>0</v>
      </c>
      <c r="BH70" s="42">
        <f t="shared" si="65"/>
        <v>1</v>
      </c>
      <c r="BI70" s="94">
        <v>0</v>
      </c>
      <c r="BJ70" s="262">
        <v>0</v>
      </c>
      <c r="BK70" s="95">
        <v>0</v>
      </c>
      <c r="BL70" s="42">
        <f t="shared" si="66"/>
        <v>0</v>
      </c>
      <c r="BM70" s="251"/>
      <c r="BN70" s="251"/>
      <c r="BO70" s="251"/>
      <c r="BP70" s="251"/>
      <c r="BQ70" s="251"/>
      <c r="BR70" s="251"/>
      <c r="BS70" s="251"/>
      <c r="BT70" s="251"/>
      <c r="BU70" s="251"/>
    </row>
    <row r="71" spans="2:73" ht="24.95" customHeight="1" thickBot="1">
      <c r="B71" s="37">
        <f t="shared" si="71"/>
        <v>0.4062501249999998</v>
      </c>
      <c r="C71" s="38" t="s">
        <v>9</v>
      </c>
      <c r="D71" s="47">
        <f t="shared" si="72"/>
        <v>0.41666679999999978</v>
      </c>
      <c r="E71" s="94">
        <v>4</v>
      </c>
      <c r="F71" s="262">
        <v>2</v>
      </c>
      <c r="G71" s="95">
        <v>0</v>
      </c>
      <c r="H71" s="42">
        <f t="shared" si="52"/>
        <v>6</v>
      </c>
      <c r="I71" s="94">
        <v>74</v>
      </c>
      <c r="J71" s="262">
        <v>3</v>
      </c>
      <c r="K71" s="95">
        <v>0</v>
      </c>
      <c r="L71" s="42">
        <f t="shared" si="53"/>
        <v>77</v>
      </c>
      <c r="M71" s="94">
        <v>3</v>
      </c>
      <c r="N71" s="262">
        <v>0</v>
      </c>
      <c r="O71" s="95">
        <v>0</v>
      </c>
      <c r="P71" s="42">
        <f t="shared" si="54"/>
        <v>3</v>
      </c>
      <c r="Q71" s="94">
        <v>15</v>
      </c>
      <c r="R71" s="262">
        <v>2</v>
      </c>
      <c r="S71" s="95">
        <v>0</v>
      </c>
      <c r="T71" s="42">
        <f t="shared" si="55"/>
        <v>17</v>
      </c>
      <c r="U71" s="94">
        <v>0</v>
      </c>
      <c r="V71" s="262">
        <v>1</v>
      </c>
      <c r="W71" s="95">
        <v>0</v>
      </c>
      <c r="X71" s="42">
        <f t="shared" si="56"/>
        <v>1</v>
      </c>
      <c r="Y71" s="94">
        <v>9</v>
      </c>
      <c r="Z71" s="262">
        <v>0</v>
      </c>
      <c r="AA71" s="95">
        <v>0</v>
      </c>
      <c r="AB71" s="42">
        <f t="shared" si="57"/>
        <v>9</v>
      </c>
      <c r="AC71" s="94">
        <v>26</v>
      </c>
      <c r="AD71" s="262">
        <v>0</v>
      </c>
      <c r="AE71" s="95">
        <v>0</v>
      </c>
      <c r="AF71" s="42">
        <f t="shared" si="58"/>
        <v>26</v>
      </c>
      <c r="AG71" s="94">
        <v>57</v>
      </c>
      <c r="AH71" s="262">
        <v>1</v>
      </c>
      <c r="AI71" s="95">
        <v>2</v>
      </c>
      <c r="AJ71" s="42">
        <f t="shared" si="59"/>
        <v>60</v>
      </c>
      <c r="AK71" s="94">
        <v>3</v>
      </c>
      <c r="AL71" s="262">
        <v>0</v>
      </c>
      <c r="AM71" s="95">
        <v>0</v>
      </c>
      <c r="AN71" s="42">
        <f t="shared" si="60"/>
        <v>3</v>
      </c>
      <c r="AO71" s="94">
        <v>5</v>
      </c>
      <c r="AP71" s="262">
        <v>0</v>
      </c>
      <c r="AQ71" s="95">
        <v>0</v>
      </c>
      <c r="AR71" s="42">
        <f t="shared" si="61"/>
        <v>5</v>
      </c>
      <c r="AS71" s="94">
        <v>6</v>
      </c>
      <c r="AT71" s="262">
        <v>1</v>
      </c>
      <c r="AU71" s="95">
        <v>0</v>
      </c>
      <c r="AV71" s="42">
        <f t="shared" si="62"/>
        <v>7</v>
      </c>
      <c r="AW71" s="94">
        <v>4</v>
      </c>
      <c r="AX71" s="262">
        <v>0</v>
      </c>
      <c r="AY71" s="95">
        <v>0</v>
      </c>
      <c r="AZ71" s="42">
        <f t="shared" si="63"/>
        <v>4</v>
      </c>
      <c r="BA71" s="94">
        <v>2</v>
      </c>
      <c r="BB71" s="262">
        <v>0</v>
      </c>
      <c r="BC71" s="95">
        <v>0</v>
      </c>
      <c r="BD71" s="42">
        <f t="shared" si="64"/>
        <v>2</v>
      </c>
      <c r="BE71" s="94">
        <v>0</v>
      </c>
      <c r="BF71" s="262">
        <v>1</v>
      </c>
      <c r="BG71" s="95">
        <v>0</v>
      </c>
      <c r="BH71" s="42">
        <f t="shared" si="65"/>
        <v>1</v>
      </c>
      <c r="BI71" s="94">
        <v>0</v>
      </c>
      <c r="BJ71" s="262">
        <v>0</v>
      </c>
      <c r="BK71" s="95">
        <v>0</v>
      </c>
      <c r="BL71" s="42">
        <f t="shared" si="66"/>
        <v>0</v>
      </c>
      <c r="BM71" s="251"/>
      <c r="BN71" s="251"/>
      <c r="BO71" s="251"/>
      <c r="BP71" s="251"/>
      <c r="BQ71" s="251"/>
      <c r="BR71" s="251"/>
      <c r="BS71" s="251"/>
      <c r="BT71" s="251"/>
      <c r="BU71" s="251"/>
    </row>
    <row r="72" spans="2:73" ht="30" customHeight="1" thickBot="1">
      <c r="B72" s="369" t="str">
        <f>B34</f>
        <v>AM Totals</v>
      </c>
      <c r="C72" s="370"/>
      <c r="D72" s="371"/>
      <c r="E72" s="44">
        <f>SUM(E56:E71)</f>
        <v>112</v>
      </c>
      <c r="F72" s="263">
        <f>SUM(F56:F71)</f>
        <v>8</v>
      </c>
      <c r="G72" s="45">
        <f>SUM(G56:G71)</f>
        <v>0</v>
      </c>
      <c r="H72" s="46">
        <f t="shared" si="52"/>
        <v>120</v>
      </c>
      <c r="I72" s="44">
        <f>SUM(I56:I71)</f>
        <v>798</v>
      </c>
      <c r="J72" s="263">
        <f>SUM(J56:J71)</f>
        <v>23</v>
      </c>
      <c r="K72" s="45">
        <f>SUM(K56:K71)</f>
        <v>1</v>
      </c>
      <c r="L72" s="46">
        <f t="shared" si="53"/>
        <v>822</v>
      </c>
      <c r="M72" s="44">
        <f>SUM(M56:M71)</f>
        <v>33</v>
      </c>
      <c r="N72" s="263">
        <f>SUM(N56:N71)</f>
        <v>3</v>
      </c>
      <c r="O72" s="45">
        <f>SUM(O56:O71)</f>
        <v>0</v>
      </c>
      <c r="P72" s="46">
        <f t="shared" si="54"/>
        <v>36</v>
      </c>
      <c r="Q72" s="44">
        <f>SUM(Q56:Q71)</f>
        <v>137</v>
      </c>
      <c r="R72" s="263">
        <f>SUM(R56:R71)</f>
        <v>5</v>
      </c>
      <c r="S72" s="45">
        <f>SUM(S56:S71)</f>
        <v>0</v>
      </c>
      <c r="T72" s="46">
        <f t="shared" si="55"/>
        <v>142</v>
      </c>
      <c r="U72" s="44">
        <f>SUM(U56:U71)</f>
        <v>7</v>
      </c>
      <c r="V72" s="263">
        <f>SUM(V56:V71)</f>
        <v>1</v>
      </c>
      <c r="W72" s="45">
        <f>SUM(W56:W71)</f>
        <v>0</v>
      </c>
      <c r="X72" s="46">
        <f t="shared" si="56"/>
        <v>8</v>
      </c>
      <c r="Y72" s="44">
        <f>SUM(Y56:Y71)</f>
        <v>96</v>
      </c>
      <c r="Z72" s="263">
        <f>SUM(Z56:Z71)</f>
        <v>4</v>
      </c>
      <c r="AA72" s="45">
        <f>SUM(AA56:AA71)</f>
        <v>0</v>
      </c>
      <c r="AB72" s="46">
        <f t="shared" si="57"/>
        <v>100</v>
      </c>
      <c r="AC72" s="44">
        <f>SUM(AC56:AC71)</f>
        <v>461</v>
      </c>
      <c r="AD72" s="263">
        <f>SUM(AD56:AD71)</f>
        <v>9</v>
      </c>
      <c r="AE72" s="45">
        <f>SUM(AE56:AE71)</f>
        <v>0</v>
      </c>
      <c r="AF72" s="46">
        <f t="shared" si="58"/>
        <v>470</v>
      </c>
      <c r="AG72" s="44">
        <f>SUM(AG56:AG71)</f>
        <v>603</v>
      </c>
      <c r="AH72" s="263">
        <f>SUM(AH56:AH71)</f>
        <v>26</v>
      </c>
      <c r="AI72" s="45">
        <f>SUM(AI56:AI71)</f>
        <v>81</v>
      </c>
      <c r="AJ72" s="46">
        <f t="shared" si="59"/>
        <v>710</v>
      </c>
      <c r="AK72" s="44">
        <f>SUM(AK56:AK71)</f>
        <v>41</v>
      </c>
      <c r="AL72" s="263">
        <f>SUM(AL56:AL71)</f>
        <v>1</v>
      </c>
      <c r="AM72" s="45">
        <f>SUM(AM56:AM71)</f>
        <v>0</v>
      </c>
      <c r="AN72" s="46">
        <f t="shared" si="60"/>
        <v>42</v>
      </c>
      <c r="AO72" s="44">
        <f>SUM(AO56:AO71)</f>
        <v>12</v>
      </c>
      <c r="AP72" s="263">
        <f>SUM(AP56:AP71)</f>
        <v>0</v>
      </c>
      <c r="AQ72" s="45">
        <f>SUM(AQ56:AQ71)</f>
        <v>0</v>
      </c>
      <c r="AR72" s="46">
        <f t="shared" si="61"/>
        <v>12</v>
      </c>
      <c r="AS72" s="44">
        <f>SUM(AS56:AS71)</f>
        <v>189</v>
      </c>
      <c r="AT72" s="263">
        <f>SUM(AT56:AT71)</f>
        <v>2</v>
      </c>
      <c r="AU72" s="45">
        <f>SUM(AU56:AU71)</f>
        <v>0</v>
      </c>
      <c r="AV72" s="46">
        <f t="shared" si="62"/>
        <v>191</v>
      </c>
      <c r="AW72" s="44">
        <f>SUM(AW56:AW71)</f>
        <v>127</v>
      </c>
      <c r="AX72" s="263">
        <f>SUM(AX56:AX71)</f>
        <v>2</v>
      </c>
      <c r="AY72" s="45">
        <f>SUM(AY56:AY71)</f>
        <v>0</v>
      </c>
      <c r="AZ72" s="46">
        <f t="shared" si="63"/>
        <v>129</v>
      </c>
      <c r="BA72" s="44">
        <f>SUM(BA56:BA71)</f>
        <v>71</v>
      </c>
      <c r="BB72" s="263">
        <f>SUM(BB56:BB71)</f>
        <v>2</v>
      </c>
      <c r="BC72" s="45">
        <f>SUM(BC56:BC71)</f>
        <v>0</v>
      </c>
      <c r="BD72" s="46">
        <f t="shared" si="64"/>
        <v>73</v>
      </c>
      <c r="BE72" s="44">
        <f>SUM(BE56:BE71)</f>
        <v>25</v>
      </c>
      <c r="BF72" s="263">
        <f>SUM(BF56:BF71)</f>
        <v>3</v>
      </c>
      <c r="BG72" s="45">
        <f>SUM(BG56:BG71)</f>
        <v>0</v>
      </c>
      <c r="BH72" s="46">
        <f t="shared" si="65"/>
        <v>28</v>
      </c>
      <c r="BI72" s="44">
        <f>SUM(BI56:BI71)</f>
        <v>0</v>
      </c>
      <c r="BJ72" s="263">
        <f>SUM(BJ56:BJ71)</f>
        <v>0</v>
      </c>
      <c r="BK72" s="45">
        <f>SUM(BK56:BK71)</f>
        <v>0</v>
      </c>
      <c r="BL72" s="46">
        <f t="shared" ref="BL72" si="73">SUM(BI72:BK72)</f>
        <v>0</v>
      </c>
      <c r="BM72" s="251"/>
      <c r="BN72" s="251"/>
      <c r="BO72" s="251"/>
      <c r="BP72" s="251"/>
      <c r="BQ72" s="251"/>
      <c r="BR72" s="251"/>
      <c r="BS72" s="251"/>
      <c r="BT72" s="251"/>
      <c r="BU72" s="251"/>
    </row>
    <row r="73" spans="2:73" ht="24.95" customHeight="1">
      <c r="B73" s="37">
        <f>B35</f>
        <v>0.60416666666666663</v>
      </c>
      <c r="C73" s="38" t="s">
        <v>9</v>
      </c>
      <c r="D73" s="39">
        <f t="shared" ref="D73:D80" si="74">SUM(0.0416667/4)+B73</f>
        <v>0.61458334166666662</v>
      </c>
      <c r="E73" s="94">
        <v>23</v>
      </c>
      <c r="F73" s="262">
        <v>0</v>
      </c>
      <c r="G73" s="95">
        <v>0</v>
      </c>
      <c r="H73" s="42">
        <f t="shared" si="52"/>
        <v>23</v>
      </c>
      <c r="I73" s="94">
        <v>85</v>
      </c>
      <c r="J73" s="262">
        <v>2</v>
      </c>
      <c r="K73" s="95">
        <v>1</v>
      </c>
      <c r="L73" s="42">
        <f t="shared" si="53"/>
        <v>88</v>
      </c>
      <c r="M73" s="94">
        <v>4</v>
      </c>
      <c r="N73" s="262">
        <v>0</v>
      </c>
      <c r="O73" s="95">
        <v>0</v>
      </c>
      <c r="P73" s="42">
        <f t="shared" si="54"/>
        <v>4</v>
      </c>
      <c r="Q73" s="94">
        <v>12</v>
      </c>
      <c r="R73" s="262">
        <v>1</v>
      </c>
      <c r="S73" s="95">
        <v>0</v>
      </c>
      <c r="T73" s="42">
        <f t="shared" si="55"/>
        <v>13</v>
      </c>
      <c r="U73" s="94">
        <v>1</v>
      </c>
      <c r="V73" s="262">
        <v>0</v>
      </c>
      <c r="W73" s="95">
        <v>0</v>
      </c>
      <c r="X73" s="42">
        <f t="shared" si="56"/>
        <v>1</v>
      </c>
      <c r="Y73" s="94">
        <v>12</v>
      </c>
      <c r="Z73" s="262">
        <v>0</v>
      </c>
      <c r="AA73" s="95">
        <v>0</v>
      </c>
      <c r="AB73" s="42">
        <f t="shared" si="57"/>
        <v>12</v>
      </c>
      <c r="AC73" s="94">
        <v>35</v>
      </c>
      <c r="AD73" s="262">
        <v>2</v>
      </c>
      <c r="AE73" s="95">
        <v>0</v>
      </c>
      <c r="AF73" s="42">
        <f t="shared" si="58"/>
        <v>37</v>
      </c>
      <c r="AG73" s="94">
        <v>68</v>
      </c>
      <c r="AH73" s="262">
        <v>2</v>
      </c>
      <c r="AI73" s="95">
        <v>3</v>
      </c>
      <c r="AJ73" s="42">
        <f t="shared" si="59"/>
        <v>73</v>
      </c>
      <c r="AK73" s="94">
        <v>7</v>
      </c>
      <c r="AL73" s="262">
        <v>0</v>
      </c>
      <c r="AM73" s="95">
        <v>0</v>
      </c>
      <c r="AN73" s="42">
        <f t="shared" si="60"/>
        <v>7</v>
      </c>
      <c r="AO73" s="94">
        <v>1</v>
      </c>
      <c r="AP73" s="262">
        <v>0</v>
      </c>
      <c r="AQ73" s="95">
        <v>0</v>
      </c>
      <c r="AR73" s="42">
        <f t="shared" si="61"/>
        <v>1</v>
      </c>
      <c r="AS73" s="94">
        <v>1</v>
      </c>
      <c r="AT73" s="262">
        <v>0</v>
      </c>
      <c r="AU73" s="95">
        <v>0</v>
      </c>
      <c r="AV73" s="42">
        <f t="shared" si="62"/>
        <v>1</v>
      </c>
      <c r="AW73" s="94">
        <v>1</v>
      </c>
      <c r="AX73" s="262">
        <v>0</v>
      </c>
      <c r="AY73" s="95">
        <v>0</v>
      </c>
      <c r="AZ73" s="42">
        <f t="shared" si="63"/>
        <v>1</v>
      </c>
      <c r="BA73" s="94">
        <v>6</v>
      </c>
      <c r="BB73" s="262">
        <v>0</v>
      </c>
      <c r="BC73" s="95">
        <v>0</v>
      </c>
      <c r="BD73" s="42">
        <f t="shared" si="64"/>
        <v>6</v>
      </c>
      <c r="BE73" s="94">
        <v>7</v>
      </c>
      <c r="BF73" s="262">
        <v>0</v>
      </c>
      <c r="BG73" s="95">
        <v>0</v>
      </c>
      <c r="BH73" s="42">
        <f t="shared" si="65"/>
        <v>7</v>
      </c>
      <c r="BI73" s="94">
        <v>0</v>
      </c>
      <c r="BJ73" s="262">
        <v>0</v>
      </c>
      <c r="BK73" s="95">
        <v>0</v>
      </c>
      <c r="BL73" s="42">
        <f t="shared" si="66"/>
        <v>0</v>
      </c>
      <c r="BM73" s="251"/>
      <c r="BN73" s="251"/>
      <c r="BO73" s="251"/>
      <c r="BP73" s="251"/>
      <c r="BQ73" s="251"/>
      <c r="BR73" s="251"/>
      <c r="BS73" s="251"/>
      <c r="BT73" s="251"/>
      <c r="BU73" s="251"/>
    </row>
    <row r="74" spans="2:73" ht="24.95" customHeight="1">
      <c r="B74" s="37">
        <f t="shared" ref="B74:B80" si="75">+D73</f>
        <v>0.61458334166666662</v>
      </c>
      <c r="C74" s="38" t="s">
        <v>9</v>
      </c>
      <c r="D74" s="39">
        <f t="shared" si="74"/>
        <v>0.6250000166666666</v>
      </c>
      <c r="E74" s="94">
        <v>13</v>
      </c>
      <c r="F74" s="262">
        <v>0</v>
      </c>
      <c r="G74" s="95">
        <v>0</v>
      </c>
      <c r="H74" s="42">
        <f t="shared" si="52"/>
        <v>13</v>
      </c>
      <c r="I74" s="94">
        <v>109</v>
      </c>
      <c r="J74" s="262">
        <v>2</v>
      </c>
      <c r="K74" s="95">
        <v>0</v>
      </c>
      <c r="L74" s="42">
        <f t="shared" si="53"/>
        <v>111</v>
      </c>
      <c r="M74" s="94">
        <v>1</v>
      </c>
      <c r="N74" s="262">
        <v>0</v>
      </c>
      <c r="O74" s="95">
        <v>0</v>
      </c>
      <c r="P74" s="42">
        <f t="shared" si="54"/>
        <v>1</v>
      </c>
      <c r="Q74" s="94">
        <v>9</v>
      </c>
      <c r="R74" s="262">
        <v>0</v>
      </c>
      <c r="S74" s="95">
        <v>0</v>
      </c>
      <c r="T74" s="42">
        <f t="shared" si="55"/>
        <v>9</v>
      </c>
      <c r="U74" s="94">
        <v>0</v>
      </c>
      <c r="V74" s="262">
        <v>0</v>
      </c>
      <c r="W74" s="95">
        <v>0</v>
      </c>
      <c r="X74" s="42">
        <f t="shared" si="56"/>
        <v>0</v>
      </c>
      <c r="Y74" s="94">
        <v>8</v>
      </c>
      <c r="Z74" s="262">
        <v>0</v>
      </c>
      <c r="AA74" s="95">
        <v>0</v>
      </c>
      <c r="AB74" s="42">
        <f t="shared" si="57"/>
        <v>8</v>
      </c>
      <c r="AC74" s="94">
        <v>56</v>
      </c>
      <c r="AD74" s="262">
        <v>0</v>
      </c>
      <c r="AE74" s="95">
        <v>0</v>
      </c>
      <c r="AF74" s="42">
        <f t="shared" si="58"/>
        <v>56</v>
      </c>
      <c r="AG74" s="94">
        <v>72</v>
      </c>
      <c r="AH74" s="262">
        <v>2</v>
      </c>
      <c r="AI74" s="95">
        <v>6</v>
      </c>
      <c r="AJ74" s="42">
        <f t="shared" si="59"/>
        <v>80</v>
      </c>
      <c r="AK74" s="94">
        <v>5</v>
      </c>
      <c r="AL74" s="262">
        <v>0</v>
      </c>
      <c r="AM74" s="95">
        <v>0</v>
      </c>
      <c r="AN74" s="42">
        <f t="shared" si="60"/>
        <v>5</v>
      </c>
      <c r="AO74" s="94">
        <v>2</v>
      </c>
      <c r="AP74" s="262">
        <v>0</v>
      </c>
      <c r="AQ74" s="95">
        <v>0</v>
      </c>
      <c r="AR74" s="42">
        <f t="shared" si="61"/>
        <v>2</v>
      </c>
      <c r="AS74" s="94">
        <v>9</v>
      </c>
      <c r="AT74" s="262">
        <v>0</v>
      </c>
      <c r="AU74" s="95">
        <v>0</v>
      </c>
      <c r="AV74" s="42">
        <f t="shared" si="62"/>
        <v>9</v>
      </c>
      <c r="AW74" s="94">
        <v>10</v>
      </c>
      <c r="AX74" s="262">
        <v>0</v>
      </c>
      <c r="AY74" s="95">
        <v>0</v>
      </c>
      <c r="AZ74" s="42">
        <f t="shared" si="63"/>
        <v>10</v>
      </c>
      <c r="BA74" s="94">
        <v>8</v>
      </c>
      <c r="BB74" s="262">
        <v>0</v>
      </c>
      <c r="BC74" s="95">
        <v>0</v>
      </c>
      <c r="BD74" s="42">
        <f t="shared" si="64"/>
        <v>8</v>
      </c>
      <c r="BE74" s="94">
        <v>7</v>
      </c>
      <c r="BF74" s="262">
        <v>0</v>
      </c>
      <c r="BG74" s="95">
        <v>0</v>
      </c>
      <c r="BH74" s="42">
        <f t="shared" si="65"/>
        <v>7</v>
      </c>
      <c r="BI74" s="94">
        <v>0</v>
      </c>
      <c r="BJ74" s="262">
        <v>0</v>
      </c>
      <c r="BK74" s="95">
        <v>0</v>
      </c>
      <c r="BL74" s="42">
        <f t="shared" si="66"/>
        <v>0</v>
      </c>
      <c r="BM74" s="251"/>
      <c r="BN74" s="251"/>
      <c r="BO74" s="251"/>
      <c r="BP74" s="251"/>
      <c r="BQ74" s="251"/>
      <c r="BR74" s="251"/>
      <c r="BS74" s="251"/>
      <c r="BT74" s="251"/>
      <c r="BU74" s="251"/>
    </row>
    <row r="75" spans="2:73" ht="24.95" customHeight="1">
      <c r="B75" s="37">
        <f t="shared" si="75"/>
        <v>0.6250000166666666</v>
      </c>
      <c r="C75" s="38" t="s">
        <v>9</v>
      </c>
      <c r="D75" s="39">
        <f t="shared" si="74"/>
        <v>0.63541669166666659</v>
      </c>
      <c r="E75" s="94">
        <v>21</v>
      </c>
      <c r="F75" s="262">
        <v>0</v>
      </c>
      <c r="G75" s="95">
        <v>0</v>
      </c>
      <c r="H75" s="42">
        <f t="shared" si="52"/>
        <v>21</v>
      </c>
      <c r="I75" s="94">
        <v>106</v>
      </c>
      <c r="J75" s="262">
        <v>2</v>
      </c>
      <c r="K75" s="95">
        <v>0</v>
      </c>
      <c r="L75" s="42">
        <f t="shared" si="53"/>
        <v>108</v>
      </c>
      <c r="M75" s="94">
        <v>9</v>
      </c>
      <c r="N75" s="262">
        <v>0</v>
      </c>
      <c r="O75" s="95">
        <v>0</v>
      </c>
      <c r="P75" s="42">
        <f t="shared" si="54"/>
        <v>9</v>
      </c>
      <c r="Q75" s="94">
        <v>8</v>
      </c>
      <c r="R75" s="262">
        <v>0</v>
      </c>
      <c r="S75" s="95">
        <v>0</v>
      </c>
      <c r="T75" s="42">
        <f t="shared" si="55"/>
        <v>8</v>
      </c>
      <c r="U75" s="94">
        <v>0</v>
      </c>
      <c r="V75" s="262">
        <v>0</v>
      </c>
      <c r="W75" s="95">
        <v>0</v>
      </c>
      <c r="X75" s="42">
        <f t="shared" si="56"/>
        <v>0</v>
      </c>
      <c r="Y75" s="94">
        <v>14</v>
      </c>
      <c r="Z75" s="262">
        <v>0</v>
      </c>
      <c r="AA75" s="95">
        <v>0</v>
      </c>
      <c r="AB75" s="42">
        <f t="shared" si="57"/>
        <v>14</v>
      </c>
      <c r="AC75" s="94">
        <v>53</v>
      </c>
      <c r="AD75" s="262">
        <v>0</v>
      </c>
      <c r="AE75" s="95">
        <v>0</v>
      </c>
      <c r="AF75" s="42">
        <f t="shared" si="58"/>
        <v>53</v>
      </c>
      <c r="AG75" s="94">
        <v>72</v>
      </c>
      <c r="AH75" s="262">
        <v>0</v>
      </c>
      <c r="AI75" s="95">
        <v>2</v>
      </c>
      <c r="AJ75" s="42">
        <f t="shared" si="59"/>
        <v>74</v>
      </c>
      <c r="AK75" s="94">
        <v>12</v>
      </c>
      <c r="AL75" s="262">
        <v>0</v>
      </c>
      <c r="AM75" s="95">
        <v>0</v>
      </c>
      <c r="AN75" s="42">
        <f t="shared" si="60"/>
        <v>12</v>
      </c>
      <c r="AO75" s="94">
        <v>3</v>
      </c>
      <c r="AP75" s="262">
        <v>0</v>
      </c>
      <c r="AQ75" s="95">
        <v>0</v>
      </c>
      <c r="AR75" s="42">
        <f t="shared" si="61"/>
        <v>3</v>
      </c>
      <c r="AS75" s="94">
        <v>11</v>
      </c>
      <c r="AT75" s="262">
        <v>0</v>
      </c>
      <c r="AU75" s="95">
        <v>0</v>
      </c>
      <c r="AV75" s="42">
        <f t="shared" si="62"/>
        <v>11</v>
      </c>
      <c r="AW75" s="94">
        <v>3</v>
      </c>
      <c r="AX75" s="262">
        <v>0</v>
      </c>
      <c r="AY75" s="95">
        <v>0</v>
      </c>
      <c r="AZ75" s="42">
        <f t="shared" si="63"/>
        <v>3</v>
      </c>
      <c r="BA75" s="94">
        <v>6</v>
      </c>
      <c r="BB75" s="262">
        <v>0</v>
      </c>
      <c r="BC75" s="95">
        <v>0</v>
      </c>
      <c r="BD75" s="42">
        <f t="shared" si="64"/>
        <v>6</v>
      </c>
      <c r="BE75" s="94">
        <v>8</v>
      </c>
      <c r="BF75" s="262">
        <v>0</v>
      </c>
      <c r="BG75" s="95">
        <v>0</v>
      </c>
      <c r="BH75" s="42">
        <f t="shared" si="65"/>
        <v>8</v>
      </c>
      <c r="BI75" s="94">
        <v>0</v>
      </c>
      <c r="BJ75" s="262">
        <v>0</v>
      </c>
      <c r="BK75" s="95">
        <v>0</v>
      </c>
      <c r="BL75" s="42">
        <f t="shared" si="66"/>
        <v>0</v>
      </c>
      <c r="BM75" s="251"/>
      <c r="BN75" s="251"/>
      <c r="BO75" s="251"/>
      <c r="BP75" s="251"/>
      <c r="BQ75" s="251"/>
      <c r="BR75" s="251"/>
      <c r="BS75" s="251"/>
      <c r="BT75" s="251"/>
      <c r="BU75" s="251"/>
    </row>
    <row r="76" spans="2:73" ht="24.95" customHeight="1">
      <c r="B76" s="37">
        <f t="shared" si="75"/>
        <v>0.63541669166666659</v>
      </c>
      <c r="C76" s="38" t="s">
        <v>9</v>
      </c>
      <c r="D76" s="39">
        <f t="shared" si="74"/>
        <v>0.64583336666666658</v>
      </c>
      <c r="E76" s="94">
        <v>19</v>
      </c>
      <c r="F76" s="262">
        <v>0</v>
      </c>
      <c r="G76" s="95">
        <v>0</v>
      </c>
      <c r="H76" s="42">
        <f t="shared" si="52"/>
        <v>19</v>
      </c>
      <c r="I76" s="94">
        <v>139</v>
      </c>
      <c r="J76" s="262">
        <v>1</v>
      </c>
      <c r="K76" s="95">
        <v>0</v>
      </c>
      <c r="L76" s="42">
        <f t="shared" si="53"/>
        <v>140</v>
      </c>
      <c r="M76" s="94">
        <v>3</v>
      </c>
      <c r="N76" s="262">
        <v>0</v>
      </c>
      <c r="O76" s="95">
        <v>0</v>
      </c>
      <c r="P76" s="42">
        <f t="shared" si="54"/>
        <v>3</v>
      </c>
      <c r="Q76" s="94">
        <v>8</v>
      </c>
      <c r="R76" s="262">
        <v>0</v>
      </c>
      <c r="S76" s="95">
        <v>0</v>
      </c>
      <c r="T76" s="42">
        <f t="shared" si="55"/>
        <v>8</v>
      </c>
      <c r="U76" s="94">
        <v>1</v>
      </c>
      <c r="V76" s="262">
        <v>0</v>
      </c>
      <c r="W76" s="95">
        <v>0</v>
      </c>
      <c r="X76" s="42">
        <f t="shared" si="56"/>
        <v>1</v>
      </c>
      <c r="Y76" s="94">
        <v>11</v>
      </c>
      <c r="Z76" s="262">
        <v>0</v>
      </c>
      <c r="AA76" s="95">
        <v>0</v>
      </c>
      <c r="AB76" s="42">
        <f t="shared" si="57"/>
        <v>11</v>
      </c>
      <c r="AC76" s="94">
        <v>66</v>
      </c>
      <c r="AD76" s="262">
        <v>1</v>
      </c>
      <c r="AE76" s="95">
        <v>0</v>
      </c>
      <c r="AF76" s="42">
        <f t="shared" si="58"/>
        <v>67</v>
      </c>
      <c r="AG76" s="94">
        <v>61</v>
      </c>
      <c r="AH76" s="262">
        <v>0</v>
      </c>
      <c r="AI76" s="95">
        <v>3</v>
      </c>
      <c r="AJ76" s="42">
        <f t="shared" si="59"/>
        <v>64</v>
      </c>
      <c r="AK76" s="94">
        <v>14</v>
      </c>
      <c r="AL76" s="262">
        <v>0</v>
      </c>
      <c r="AM76" s="95">
        <v>0</v>
      </c>
      <c r="AN76" s="42">
        <f t="shared" si="60"/>
        <v>14</v>
      </c>
      <c r="AO76" s="94">
        <v>5</v>
      </c>
      <c r="AP76" s="262">
        <v>0</v>
      </c>
      <c r="AQ76" s="95">
        <v>0</v>
      </c>
      <c r="AR76" s="42">
        <f t="shared" si="61"/>
        <v>5</v>
      </c>
      <c r="AS76" s="94">
        <v>6</v>
      </c>
      <c r="AT76" s="262">
        <v>0</v>
      </c>
      <c r="AU76" s="95">
        <v>0</v>
      </c>
      <c r="AV76" s="42">
        <f t="shared" si="62"/>
        <v>6</v>
      </c>
      <c r="AW76" s="94">
        <v>4</v>
      </c>
      <c r="AX76" s="262">
        <v>0</v>
      </c>
      <c r="AY76" s="95">
        <v>0</v>
      </c>
      <c r="AZ76" s="42">
        <f t="shared" si="63"/>
        <v>4</v>
      </c>
      <c r="BA76" s="94">
        <v>3</v>
      </c>
      <c r="BB76" s="262">
        <v>0</v>
      </c>
      <c r="BC76" s="95">
        <v>0</v>
      </c>
      <c r="BD76" s="42">
        <f t="shared" si="64"/>
        <v>3</v>
      </c>
      <c r="BE76" s="94">
        <v>7</v>
      </c>
      <c r="BF76" s="262">
        <v>1</v>
      </c>
      <c r="BG76" s="95">
        <v>0</v>
      </c>
      <c r="BH76" s="42">
        <f t="shared" si="65"/>
        <v>8</v>
      </c>
      <c r="BI76" s="94">
        <v>0</v>
      </c>
      <c r="BJ76" s="262">
        <v>0</v>
      </c>
      <c r="BK76" s="95">
        <v>0</v>
      </c>
      <c r="BL76" s="42">
        <f t="shared" si="66"/>
        <v>0</v>
      </c>
      <c r="BM76" s="251"/>
      <c r="BN76" s="251"/>
      <c r="BO76" s="251"/>
      <c r="BP76" s="251"/>
      <c r="BQ76" s="251"/>
      <c r="BR76" s="251"/>
      <c r="BS76" s="251"/>
      <c r="BT76" s="251"/>
      <c r="BU76" s="251"/>
    </row>
    <row r="77" spans="2:73" ht="24.95" customHeight="1">
      <c r="B77" s="37">
        <f t="shared" si="75"/>
        <v>0.64583336666666658</v>
      </c>
      <c r="C77" s="38" t="s">
        <v>9</v>
      </c>
      <c r="D77" s="39">
        <f t="shared" si="74"/>
        <v>0.65625004166666656</v>
      </c>
      <c r="E77" s="94">
        <v>27</v>
      </c>
      <c r="F77" s="262">
        <v>0</v>
      </c>
      <c r="G77" s="95">
        <v>0</v>
      </c>
      <c r="H77" s="42">
        <f t="shared" si="52"/>
        <v>27</v>
      </c>
      <c r="I77" s="94">
        <v>123</v>
      </c>
      <c r="J77" s="262">
        <v>1</v>
      </c>
      <c r="K77" s="95">
        <v>0</v>
      </c>
      <c r="L77" s="42">
        <f t="shared" si="53"/>
        <v>124</v>
      </c>
      <c r="M77" s="94">
        <v>11</v>
      </c>
      <c r="N77" s="262">
        <v>1</v>
      </c>
      <c r="O77" s="95">
        <v>0</v>
      </c>
      <c r="P77" s="42">
        <f t="shared" si="54"/>
        <v>12</v>
      </c>
      <c r="Q77" s="94">
        <v>8</v>
      </c>
      <c r="R77" s="262">
        <v>0</v>
      </c>
      <c r="S77" s="95">
        <v>0</v>
      </c>
      <c r="T77" s="42">
        <f t="shared" si="55"/>
        <v>8</v>
      </c>
      <c r="U77" s="94">
        <v>1</v>
      </c>
      <c r="V77" s="262">
        <v>0</v>
      </c>
      <c r="W77" s="95">
        <v>0</v>
      </c>
      <c r="X77" s="42">
        <f t="shared" si="56"/>
        <v>1</v>
      </c>
      <c r="Y77" s="94">
        <v>5</v>
      </c>
      <c r="Z77" s="262">
        <v>0</v>
      </c>
      <c r="AA77" s="95">
        <v>0</v>
      </c>
      <c r="AB77" s="42">
        <f t="shared" si="57"/>
        <v>5</v>
      </c>
      <c r="AC77" s="94">
        <v>53</v>
      </c>
      <c r="AD77" s="262">
        <v>1</v>
      </c>
      <c r="AE77" s="95">
        <v>0</v>
      </c>
      <c r="AF77" s="42">
        <f t="shared" si="58"/>
        <v>54</v>
      </c>
      <c r="AG77" s="94">
        <v>74</v>
      </c>
      <c r="AH77" s="262">
        <v>1</v>
      </c>
      <c r="AI77" s="95">
        <v>3</v>
      </c>
      <c r="AJ77" s="42">
        <f t="shared" si="59"/>
        <v>78</v>
      </c>
      <c r="AK77" s="94">
        <v>11</v>
      </c>
      <c r="AL77" s="262">
        <v>0</v>
      </c>
      <c r="AM77" s="95">
        <v>0</v>
      </c>
      <c r="AN77" s="42">
        <f t="shared" si="60"/>
        <v>11</v>
      </c>
      <c r="AO77" s="94">
        <v>5</v>
      </c>
      <c r="AP77" s="262">
        <v>0</v>
      </c>
      <c r="AQ77" s="95">
        <v>0</v>
      </c>
      <c r="AR77" s="42">
        <f t="shared" si="61"/>
        <v>5</v>
      </c>
      <c r="AS77" s="94">
        <v>6</v>
      </c>
      <c r="AT77" s="262">
        <v>0</v>
      </c>
      <c r="AU77" s="95">
        <v>0</v>
      </c>
      <c r="AV77" s="42">
        <f t="shared" si="62"/>
        <v>6</v>
      </c>
      <c r="AW77" s="94">
        <v>2</v>
      </c>
      <c r="AX77" s="262">
        <v>0</v>
      </c>
      <c r="AY77" s="95">
        <v>0</v>
      </c>
      <c r="AZ77" s="42">
        <f t="shared" si="63"/>
        <v>2</v>
      </c>
      <c r="BA77" s="94">
        <v>1</v>
      </c>
      <c r="BB77" s="262">
        <v>0</v>
      </c>
      <c r="BC77" s="95">
        <v>0</v>
      </c>
      <c r="BD77" s="42">
        <f t="shared" si="64"/>
        <v>1</v>
      </c>
      <c r="BE77" s="94">
        <v>5</v>
      </c>
      <c r="BF77" s="262">
        <v>0</v>
      </c>
      <c r="BG77" s="95">
        <v>0</v>
      </c>
      <c r="BH77" s="42">
        <f t="shared" si="65"/>
        <v>5</v>
      </c>
      <c r="BI77" s="94">
        <v>0</v>
      </c>
      <c r="BJ77" s="262">
        <v>0</v>
      </c>
      <c r="BK77" s="95">
        <v>0</v>
      </c>
      <c r="BL77" s="42">
        <f t="shared" si="66"/>
        <v>0</v>
      </c>
      <c r="BM77" s="251"/>
      <c r="BN77" s="251"/>
      <c r="BO77" s="251"/>
      <c r="BP77" s="251"/>
      <c r="BQ77" s="251"/>
      <c r="BR77" s="251"/>
      <c r="BS77" s="251"/>
      <c r="BT77" s="251"/>
      <c r="BU77" s="251"/>
    </row>
    <row r="78" spans="2:73" ht="24.95" customHeight="1">
      <c r="B78" s="37">
        <f t="shared" si="75"/>
        <v>0.65625004166666656</v>
      </c>
      <c r="C78" s="38" t="s">
        <v>9</v>
      </c>
      <c r="D78" s="39">
        <f t="shared" si="74"/>
        <v>0.66666671666666655</v>
      </c>
      <c r="E78" s="94">
        <v>14</v>
      </c>
      <c r="F78" s="262">
        <v>0</v>
      </c>
      <c r="G78" s="95">
        <v>0</v>
      </c>
      <c r="H78" s="42">
        <f t="shared" si="52"/>
        <v>14</v>
      </c>
      <c r="I78" s="94">
        <v>125</v>
      </c>
      <c r="J78" s="262">
        <v>0</v>
      </c>
      <c r="K78" s="95">
        <v>0</v>
      </c>
      <c r="L78" s="42">
        <f t="shared" si="53"/>
        <v>125</v>
      </c>
      <c r="M78" s="94">
        <v>6</v>
      </c>
      <c r="N78" s="262">
        <v>0</v>
      </c>
      <c r="O78" s="95">
        <v>0</v>
      </c>
      <c r="P78" s="42">
        <f t="shared" si="54"/>
        <v>6</v>
      </c>
      <c r="Q78" s="94">
        <v>8</v>
      </c>
      <c r="R78" s="262">
        <v>0</v>
      </c>
      <c r="S78" s="95">
        <v>0</v>
      </c>
      <c r="T78" s="42">
        <f t="shared" si="55"/>
        <v>8</v>
      </c>
      <c r="U78" s="94">
        <v>0</v>
      </c>
      <c r="V78" s="262">
        <v>0</v>
      </c>
      <c r="W78" s="95">
        <v>0</v>
      </c>
      <c r="X78" s="42">
        <f t="shared" si="56"/>
        <v>0</v>
      </c>
      <c r="Y78" s="94">
        <v>10</v>
      </c>
      <c r="Z78" s="262">
        <v>0</v>
      </c>
      <c r="AA78" s="95">
        <v>0</v>
      </c>
      <c r="AB78" s="42">
        <f t="shared" si="57"/>
        <v>10</v>
      </c>
      <c r="AC78" s="94">
        <v>70</v>
      </c>
      <c r="AD78" s="262">
        <v>1</v>
      </c>
      <c r="AE78" s="95">
        <v>0</v>
      </c>
      <c r="AF78" s="42">
        <f t="shared" si="58"/>
        <v>71</v>
      </c>
      <c r="AG78" s="94">
        <v>88</v>
      </c>
      <c r="AH78" s="262">
        <v>4</v>
      </c>
      <c r="AI78" s="95">
        <v>7</v>
      </c>
      <c r="AJ78" s="42">
        <f t="shared" si="59"/>
        <v>99</v>
      </c>
      <c r="AK78" s="94">
        <v>7</v>
      </c>
      <c r="AL78" s="262">
        <v>0</v>
      </c>
      <c r="AM78" s="95">
        <v>0</v>
      </c>
      <c r="AN78" s="42">
        <f t="shared" si="60"/>
        <v>7</v>
      </c>
      <c r="AO78" s="94">
        <v>0</v>
      </c>
      <c r="AP78" s="262">
        <v>0</v>
      </c>
      <c r="AQ78" s="95">
        <v>0</v>
      </c>
      <c r="AR78" s="42">
        <f t="shared" si="61"/>
        <v>0</v>
      </c>
      <c r="AS78" s="94">
        <v>7</v>
      </c>
      <c r="AT78" s="262">
        <v>0</v>
      </c>
      <c r="AU78" s="95">
        <v>0</v>
      </c>
      <c r="AV78" s="42">
        <f t="shared" si="62"/>
        <v>7</v>
      </c>
      <c r="AW78" s="94">
        <v>6</v>
      </c>
      <c r="AX78" s="262">
        <v>0</v>
      </c>
      <c r="AY78" s="95">
        <v>0</v>
      </c>
      <c r="AZ78" s="42">
        <f t="shared" si="63"/>
        <v>6</v>
      </c>
      <c r="BA78" s="94">
        <v>3</v>
      </c>
      <c r="BB78" s="262">
        <v>0</v>
      </c>
      <c r="BC78" s="95">
        <v>0</v>
      </c>
      <c r="BD78" s="42">
        <f t="shared" si="64"/>
        <v>3</v>
      </c>
      <c r="BE78" s="94">
        <v>5</v>
      </c>
      <c r="BF78" s="262">
        <v>0</v>
      </c>
      <c r="BG78" s="95">
        <v>0</v>
      </c>
      <c r="BH78" s="42">
        <f t="shared" si="65"/>
        <v>5</v>
      </c>
      <c r="BI78" s="94">
        <v>0</v>
      </c>
      <c r="BJ78" s="262">
        <v>0</v>
      </c>
      <c r="BK78" s="95">
        <v>0</v>
      </c>
      <c r="BL78" s="42">
        <f t="shared" si="66"/>
        <v>0</v>
      </c>
      <c r="BM78" s="251"/>
      <c r="BN78" s="251"/>
      <c r="BO78" s="251"/>
      <c r="BP78" s="251"/>
      <c r="BQ78" s="251"/>
      <c r="BR78" s="251"/>
      <c r="BS78" s="251"/>
      <c r="BT78" s="251"/>
      <c r="BU78" s="251"/>
    </row>
    <row r="79" spans="2:73" ht="24.95" customHeight="1">
      <c r="B79" s="37">
        <f t="shared" si="75"/>
        <v>0.66666671666666655</v>
      </c>
      <c r="C79" s="38" t="s">
        <v>9</v>
      </c>
      <c r="D79" s="39">
        <f t="shared" si="74"/>
        <v>0.67708339166666653</v>
      </c>
      <c r="E79" s="94">
        <v>12</v>
      </c>
      <c r="F79" s="262">
        <v>0</v>
      </c>
      <c r="G79" s="95">
        <v>0</v>
      </c>
      <c r="H79" s="42">
        <f t="shared" si="52"/>
        <v>12</v>
      </c>
      <c r="I79" s="94">
        <v>126</v>
      </c>
      <c r="J79" s="262">
        <v>1</v>
      </c>
      <c r="K79" s="95">
        <v>0</v>
      </c>
      <c r="L79" s="42">
        <f t="shared" si="53"/>
        <v>127</v>
      </c>
      <c r="M79" s="94">
        <v>2</v>
      </c>
      <c r="N79" s="262">
        <v>0</v>
      </c>
      <c r="O79" s="95">
        <v>0</v>
      </c>
      <c r="P79" s="42">
        <f t="shared" si="54"/>
        <v>2</v>
      </c>
      <c r="Q79" s="94">
        <v>15</v>
      </c>
      <c r="R79" s="262">
        <v>0</v>
      </c>
      <c r="S79" s="95">
        <v>0</v>
      </c>
      <c r="T79" s="42">
        <f t="shared" si="55"/>
        <v>15</v>
      </c>
      <c r="U79" s="94">
        <v>0</v>
      </c>
      <c r="V79" s="262">
        <v>0</v>
      </c>
      <c r="W79" s="95">
        <v>0</v>
      </c>
      <c r="X79" s="42">
        <f t="shared" si="56"/>
        <v>0</v>
      </c>
      <c r="Y79" s="94">
        <v>7</v>
      </c>
      <c r="Z79" s="262">
        <v>0</v>
      </c>
      <c r="AA79" s="95">
        <v>0</v>
      </c>
      <c r="AB79" s="42">
        <f t="shared" si="57"/>
        <v>7</v>
      </c>
      <c r="AC79" s="94">
        <v>72</v>
      </c>
      <c r="AD79" s="262">
        <v>2</v>
      </c>
      <c r="AE79" s="95">
        <v>0</v>
      </c>
      <c r="AF79" s="42">
        <f t="shared" si="58"/>
        <v>74</v>
      </c>
      <c r="AG79" s="94">
        <v>83</v>
      </c>
      <c r="AH79" s="262">
        <v>2</v>
      </c>
      <c r="AI79" s="95">
        <v>8</v>
      </c>
      <c r="AJ79" s="42">
        <f t="shared" si="59"/>
        <v>93</v>
      </c>
      <c r="AK79" s="94">
        <v>9</v>
      </c>
      <c r="AL79" s="262">
        <v>0</v>
      </c>
      <c r="AM79" s="95">
        <v>0</v>
      </c>
      <c r="AN79" s="42">
        <f t="shared" si="60"/>
        <v>9</v>
      </c>
      <c r="AO79" s="94">
        <v>4</v>
      </c>
      <c r="AP79" s="262">
        <v>0</v>
      </c>
      <c r="AQ79" s="95">
        <v>0</v>
      </c>
      <c r="AR79" s="42">
        <f t="shared" si="61"/>
        <v>4</v>
      </c>
      <c r="AS79" s="94">
        <v>6</v>
      </c>
      <c r="AT79" s="262">
        <v>0</v>
      </c>
      <c r="AU79" s="95">
        <v>0</v>
      </c>
      <c r="AV79" s="42">
        <f t="shared" si="62"/>
        <v>6</v>
      </c>
      <c r="AW79" s="94">
        <v>5</v>
      </c>
      <c r="AX79" s="262">
        <v>0</v>
      </c>
      <c r="AY79" s="95">
        <v>0</v>
      </c>
      <c r="AZ79" s="42">
        <f t="shared" si="63"/>
        <v>5</v>
      </c>
      <c r="BA79" s="94">
        <v>7</v>
      </c>
      <c r="BB79" s="262">
        <v>0</v>
      </c>
      <c r="BC79" s="95">
        <v>0</v>
      </c>
      <c r="BD79" s="42">
        <f t="shared" si="64"/>
        <v>7</v>
      </c>
      <c r="BE79" s="94">
        <v>4</v>
      </c>
      <c r="BF79" s="262">
        <v>0</v>
      </c>
      <c r="BG79" s="95">
        <v>0</v>
      </c>
      <c r="BH79" s="42">
        <f t="shared" si="65"/>
        <v>4</v>
      </c>
      <c r="BI79" s="94">
        <v>1</v>
      </c>
      <c r="BJ79" s="262">
        <v>0</v>
      </c>
      <c r="BK79" s="95">
        <v>0</v>
      </c>
      <c r="BL79" s="42">
        <f t="shared" si="66"/>
        <v>1</v>
      </c>
      <c r="BM79" s="251"/>
      <c r="BN79" s="251"/>
      <c r="BO79" s="251"/>
      <c r="BP79" s="251"/>
      <c r="BQ79" s="251"/>
      <c r="BR79" s="251"/>
      <c r="BS79" s="251"/>
      <c r="BT79" s="251"/>
      <c r="BU79" s="251"/>
    </row>
    <row r="80" spans="2:73" ht="24.95" customHeight="1">
      <c r="B80" s="37">
        <f t="shared" si="75"/>
        <v>0.67708339166666653</v>
      </c>
      <c r="C80" s="38" t="s">
        <v>9</v>
      </c>
      <c r="D80" s="47">
        <f t="shared" si="74"/>
        <v>0.68750006666666652</v>
      </c>
      <c r="E80" s="94">
        <v>12</v>
      </c>
      <c r="F80" s="262">
        <v>1</v>
      </c>
      <c r="G80" s="95">
        <v>0</v>
      </c>
      <c r="H80" s="42">
        <f t="shared" si="52"/>
        <v>13</v>
      </c>
      <c r="I80" s="94">
        <v>155</v>
      </c>
      <c r="J80" s="262">
        <v>0</v>
      </c>
      <c r="K80" s="95">
        <v>0</v>
      </c>
      <c r="L80" s="42">
        <f t="shared" si="53"/>
        <v>155</v>
      </c>
      <c r="M80" s="94">
        <v>6</v>
      </c>
      <c r="N80" s="262">
        <v>0</v>
      </c>
      <c r="O80" s="95">
        <v>0</v>
      </c>
      <c r="P80" s="42">
        <f t="shared" si="54"/>
        <v>6</v>
      </c>
      <c r="Q80" s="94">
        <v>7</v>
      </c>
      <c r="R80" s="262">
        <v>0</v>
      </c>
      <c r="S80" s="95">
        <v>0</v>
      </c>
      <c r="T80" s="42">
        <f t="shared" si="55"/>
        <v>7</v>
      </c>
      <c r="U80" s="94">
        <v>1</v>
      </c>
      <c r="V80" s="262">
        <v>0</v>
      </c>
      <c r="W80" s="95">
        <v>0</v>
      </c>
      <c r="X80" s="42">
        <f t="shared" si="56"/>
        <v>1</v>
      </c>
      <c r="Y80" s="94">
        <v>10</v>
      </c>
      <c r="Z80" s="262">
        <v>1</v>
      </c>
      <c r="AA80" s="95">
        <v>0</v>
      </c>
      <c r="AB80" s="42">
        <f t="shared" si="57"/>
        <v>11</v>
      </c>
      <c r="AC80" s="94">
        <v>61</v>
      </c>
      <c r="AD80" s="262">
        <v>1</v>
      </c>
      <c r="AE80" s="95">
        <v>0</v>
      </c>
      <c r="AF80" s="42">
        <f t="shared" si="58"/>
        <v>62</v>
      </c>
      <c r="AG80" s="94">
        <v>101</v>
      </c>
      <c r="AH80" s="262">
        <v>2</v>
      </c>
      <c r="AI80" s="95">
        <v>6</v>
      </c>
      <c r="AJ80" s="42">
        <f t="shared" si="59"/>
        <v>109</v>
      </c>
      <c r="AK80" s="94">
        <v>10</v>
      </c>
      <c r="AL80" s="262">
        <v>0</v>
      </c>
      <c r="AM80" s="95">
        <v>0</v>
      </c>
      <c r="AN80" s="42">
        <f t="shared" si="60"/>
        <v>10</v>
      </c>
      <c r="AO80" s="94">
        <v>0</v>
      </c>
      <c r="AP80" s="262">
        <v>0</v>
      </c>
      <c r="AQ80" s="95">
        <v>0</v>
      </c>
      <c r="AR80" s="42">
        <f t="shared" si="61"/>
        <v>0</v>
      </c>
      <c r="AS80" s="94">
        <v>9</v>
      </c>
      <c r="AT80" s="262">
        <v>0</v>
      </c>
      <c r="AU80" s="95">
        <v>0</v>
      </c>
      <c r="AV80" s="42">
        <f t="shared" si="62"/>
        <v>9</v>
      </c>
      <c r="AW80" s="94">
        <v>4</v>
      </c>
      <c r="AX80" s="262">
        <v>0</v>
      </c>
      <c r="AY80" s="95">
        <v>0</v>
      </c>
      <c r="AZ80" s="42">
        <f t="shared" si="63"/>
        <v>4</v>
      </c>
      <c r="BA80" s="94">
        <v>11</v>
      </c>
      <c r="BB80" s="262">
        <v>0</v>
      </c>
      <c r="BC80" s="95">
        <v>0</v>
      </c>
      <c r="BD80" s="42">
        <f t="shared" si="64"/>
        <v>11</v>
      </c>
      <c r="BE80" s="94">
        <v>9</v>
      </c>
      <c r="BF80" s="262">
        <v>0</v>
      </c>
      <c r="BG80" s="95">
        <v>0</v>
      </c>
      <c r="BH80" s="42">
        <f t="shared" si="65"/>
        <v>9</v>
      </c>
      <c r="BI80" s="94">
        <v>0</v>
      </c>
      <c r="BJ80" s="262">
        <v>0</v>
      </c>
      <c r="BK80" s="95">
        <v>0</v>
      </c>
      <c r="BL80" s="42">
        <f t="shared" si="66"/>
        <v>0</v>
      </c>
      <c r="BM80" s="251"/>
      <c r="BN80" s="251"/>
      <c r="BO80" s="251"/>
      <c r="BP80" s="251"/>
      <c r="BQ80" s="251"/>
      <c r="BR80" s="251"/>
      <c r="BS80" s="251"/>
      <c r="BT80" s="251"/>
      <c r="BU80" s="251"/>
    </row>
    <row r="81" spans="2:73" ht="24.95" customHeight="1">
      <c r="B81" s="37">
        <f t="shared" ref="B81:B82" si="76">+D80</f>
        <v>0.68750006666666652</v>
      </c>
      <c r="C81" s="38" t="s">
        <v>9</v>
      </c>
      <c r="D81" s="47">
        <f t="shared" ref="D81:D82" si="77">SUM(0.0416667/4)+B81</f>
        <v>0.69791674166666651</v>
      </c>
      <c r="E81" s="94">
        <v>19</v>
      </c>
      <c r="F81" s="262">
        <v>0</v>
      </c>
      <c r="G81" s="95">
        <v>0</v>
      </c>
      <c r="H81" s="42">
        <f t="shared" si="52"/>
        <v>19</v>
      </c>
      <c r="I81" s="94">
        <v>151</v>
      </c>
      <c r="J81" s="262">
        <v>0</v>
      </c>
      <c r="K81" s="95">
        <v>0</v>
      </c>
      <c r="L81" s="42">
        <f t="shared" si="53"/>
        <v>151</v>
      </c>
      <c r="M81" s="94">
        <v>4</v>
      </c>
      <c r="N81" s="262">
        <v>1</v>
      </c>
      <c r="O81" s="95">
        <v>0</v>
      </c>
      <c r="P81" s="42">
        <f t="shared" si="54"/>
        <v>5</v>
      </c>
      <c r="Q81" s="94">
        <v>11</v>
      </c>
      <c r="R81" s="262">
        <v>0</v>
      </c>
      <c r="S81" s="95">
        <v>0</v>
      </c>
      <c r="T81" s="42">
        <f t="shared" si="55"/>
        <v>11</v>
      </c>
      <c r="U81" s="94">
        <v>1</v>
      </c>
      <c r="V81" s="262">
        <v>0</v>
      </c>
      <c r="W81" s="95">
        <v>0</v>
      </c>
      <c r="X81" s="42">
        <f t="shared" si="56"/>
        <v>1</v>
      </c>
      <c r="Y81" s="94">
        <v>9</v>
      </c>
      <c r="Z81" s="262">
        <v>0</v>
      </c>
      <c r="AA81" s="95">
        <v>0</v>
      </c>
      <c r="AB81" s="42">
        <f t="shared" si="57"/>
        <v>9</v>
      </c>
      <c r="AC81" s="94">
        <v>57</v>
      </c>
      <c r="AD81" s="262">
        <v>0</v>
      </c>
      <c r="AE81" s="95">
        <v>0</v>
      </c>
      <c r="AF81" s="42">
        <f t="shared" si="58"/>
        <v>57</v>
      </c>
      <c r="AG81" s="94">
        <v>85</v>
      </c>
      <c r="AH81" s="262">
        <v>1</v>
      </c>
      <c r="AI81" s="95">
        <v>7</v>
      </c>
      <c r="AJ81" s="42">
        <f t="shared" si="59"/>
        <v>93</v>
      </c>
      <c r="AK81" s="94">
        <v>10</v>
      </c>
      <c r="AL81" s="262">
        <v>0</v>
      </c>
      <c r="AM81" s="95">
        <v>0</v>
      </c>
      <c r="AN81" s="42">
        <f t="shared" si="60"/>
        <v>10</v>
      </c>
      <c r="AO81" s="94">
        <v>3</v>
      </c>
      <c r="AP81" s="262">
        <v>0</v>
      </c>
      <c r="AQ81" s="95">
        <v>0</v>
      </c>
      <c r="AR81" s="42">
        <f t="shared" si="61"/>
        <v>3</v>
      </c>
      <c r="AS81" s="94">
        <v>8</v>
      </c>
      <c r="AT81" s="262">
        <v>0</v>
      </c>
      <c r="AU81" s="95">
        <v>0</v>
      </c>
      <c r="AV81" s="42">
        <f t="shared" si="62"/>
        <v>8</v>
      </c>
      <c r="AW81" s="94">
        <v>1</v>
      </c>
      <c r="AX81" s="262">
        <v>0</v>
      </c>
      <c r="AY81" s="95">
        <v>0</v>
      </c>
      <c r="AZ81" s="42">
        <f t="shared" si="63"/>
        <v>1</v>
      </c>
      <c r="BA81" s="94">
        <v>10</v>
      </c>
      <c r="BB81" s="262">
        <v>0</v>
      </c>
      <c r="BC81" s="95">
        <v>0</v>
      </c>
      <c r="BD81" s="42">
        <f t="shared" si="64"/>
        <v>10</v>
      </c>
      <c r="BE81" s="94">
        <v>8</v>
      </c>
      <c r="BF81" s="262">
        <v>0</v>
      </c>
      <c r="BG81" s="95">
        <v>0</v>
      </c>
      <c r="BH81" s="42">
        <f t="shared" si="65"/>
        <v>8</v>
      </c>
      <c r="BI81" s="94">
        <v>0</v>
      </c>
      <c r="BJ81" s="262">
        <v>0</v>
      </c>
      <c r="BK81" s="95">
        <v>0</v>
      </c>
      <c r="BL81" s="42">
        <f t="shared" si="66"/>
        <v>0</v>
      </c>
      <c r="BM81" s="251"/>
      <c r="BN81" s="251"/>
      <c r="BO81" s="251"/>
      <c r="BP81" s="251"/>
      <c r="BQ81" s="251"/>
      <c r="BR81" s="251"/>
      <c r="BS81" s="251"/>
      <c r="BT81" s="251"/>
      <c r="BU81" s="251"/>
    </row>
    <row r="82" spans="2:73" ht="24.95" customHeight="1">
      <c r="B82" s="37">
        <f t="shared" si="76"/>
        <v>0.69791674166666651</v>
      </c>
      <c r="C82" s="38" t="s">
        <v>9</v>
      </c>
      <c r="D82" s="47">
        <f t="shared" si="77"/>
        <v>0.70833341666666649</v>
      </c>
      <c r="E82" s="94">
        <v>24</v>
      </c>
      <c r="F82" s="262">
        <v>0</v>
      </c>
      <c r="G82" s="95">
        <v>0</v>
      </c>
      <c r="H82" s="42">
        <f t="shared" si="52"/>
        <v>24</v>
      </c>
      <c r="I82" s="94">
        <v>140</v>
      </c>
      <c r="J82" s="262">
        <v>1</v>
      </c>
      <c r="K82" s="95">
        <v>0</v>
      </c>
      <c r="L82" s="42">
        <f t="shared" si="53"/>
        <v>141</v>
      </c>
      <c r="M82" s="94">
        <v>10</v>
      </c>
      <c r="N82" s="262">
        <v>0</v>
      </c>
      <c r="O82" s="95">
        <v>0</v>
      </c>
      <c r="P82" s="42">
        <f t="shared" si="54"/>
        <v>10</v>
      </c>
      <c r="Q82" s="94">
        <v>10</v>
      </c>
      <c r="R82" s="262">
        <v>0</v>
      </c>
      <c r="S82" s="95">
        <v>0</v>
      </c>
      <c r="T82" s="42">
        <f t="shared" si="55"/>
        <v>10</v>
      </c>
      <c r="U82" s="94">
        <v>1</v>
      </c>
      <c r="V82" s="262">
        <v>0</v>
      </c>
      <c r="W82" s="95">
        <v>0</v>
      </c>
      <c r="X82" s="42">
        <f t="shared" si="56"/>
        <v>1</v>
      </c>
      <c r="Y82" s="94">
        <v>8</v>
      </c>
      <c r="Z82" s="262">
        <v>0</v>
      </c>
      <c r="AA82" s="95">
        <v>0</v>
      </c>
      <c r="AB82" s="42">
        <f t="shared" si="57"/>
        <v>8</v>
      </c>
      <c r="AC82" s="94">
        <v>63</v>
      </c>
      <c r="AD82" s="262">
        <v>3</v>
      </c>
      <c r="AE82" s="95">
        <v>0</v>
      </c>
      <c r="AF82" s="42">
        <f t="shared" si="58"/>
        <v>66</v>
      </c>
      <c r="AG82" s="94">
        <v>73</v>
      </c>
      <c r="AH82" s="262">
        <v>1</v>
      </c>
      <c r="AI82" s="95">
        <v>4</v>
      </c>
      <c r="AJ82" s="42">
        <f t="shared" si="59"/>
        <v>78</v>
      </c>
      <c r="AK82" s="94">
        <v>14</v>
      </c>
      <c r="AL82" s="262">
        <v>0</v>
      </c>
      <c r="AM82" s="95">
        <v>0</v>
      </c>
      <c r="AN82" s="42">
        <f t="shared" si="60"/>
        <v>14</v>
      </c>
      <c r="AO82" s="94">
        <v>5</v>
      </c>
      <c r="AP82" s="262">
        <v>0</v>
      </c>
      <c r="AQ82" s="95">
        <v>0</v>
      </c>
      <c r="AR82" s="42">
        <f t="shared" si="61"/>
        <v>5</v>
      </c>
      <c r="AS82" s="94">
        <v>9</v>
      </c>
      <c r="AT82" s="262">
        <v>0</v>
      </c>
      <c r="AU82" s="95">
        <v>0</v>
      </c>
      <c r="AV82" s="42">
        <f t="shared" si="62"/>
        <v>9</v>
      </c>
      <c r="AW82" s="94">
        <v>6</v>
      </c>
      <c r="AX82" s="262">
        <v>0</v>
      </c>
      <c r="AY82" s="95">
        <v>0</v>
      </c>
      <c r="AZ82" s="42">
        <f t="shared" si="63"/>
        <v>6</v>
      </c>
      <c r="BA82" s="94">
        <v>7</v>
      </c>
      <c r="BB82" s="262">
        <v>0</v>
      </c>
      <c r="BC82" s="95">
        <v>0</v>
      </c>
      <c r="BD82" s="42">
        <f t="shared" si="64"/>
        <v>7</v>
      </c>
      <c r="BE82" s="94">
        <v>9</v>
      </c>
      <c r="BF82" s="262">
        <v>0</v>
      </c>
      <c r="BG82" s="95">
        <v>0</v>
      </c>
      <c r="BH82" s="42">
        <f t="shared" si="65"/>
        <v>9</v>
      </c>
      <c r="BI82" s="94">
        <v>0</v>
      </c>
      <c r="BJ82" s="262">
        <v>0</v>
      </c>
      <c r="BK82" s="95">
        <v>0</v>
      </c>
      <c r="BL82" s="42">
        <f t="shared" si="66"/>
        <v>0</v>
      </c>
      <c r="BM82" s="251"/>
      <c r="BN82" s="251"/>
      <c r="BO82" s="251"/>
      <c r="BP82" s="251"/>
      <c r="BQ82" s="251"/>
      <c r="BR82" s="251"/>
      <c r="BS82" s="251"/>
      <c r="BT82" s="251"/>
      <c r="BU82" s="251"/>
    </row>
    <row r="83" spans="2:73" ht="24.95" customHeight="1">
      <c r="B83" s="37">
        <f t="shared" ref="B83:B88" si="78">+D82</f>
        <v>0.70833341666666649</v>
      </c>
      <c r="C83" s="38" t="s">
        <v>9</v>
      </c>
      <c r="D83" s="47">
        <f t="shared" ref="D83:D88" si="79">SUM(0.0416667/4)+B83</f>
        <v>0.71875009166666648</v>
      </c>
      <c r="E83" s="94">
        <v>29</v>
      </c>
      <c r="F83" s="262">
        <v>0</v>
      </c>
      <c r="G83" s="95">
        <v>0</v>
      </c>
      <c r="H83" s="42">
        <f t="shared" si="52"/>
        <v>29</v>
      </c>
      <c r="I83" s="94">
        <v>148</v>
      </c>
      <c r="J83" s="262">
        <v>3</v>
      </c>
      <c r="K83" s="95">
        <v>0</v>
      </c>
      <c r="L83" s="42">
        <f t="shared" si="53"/>
        <v>151</v>
      </c>
      <c r="M83" s="94">
        <v>10</v>
      </c>
      <c r="N83" s="262">
        <v>0</v>
      </c>
      <c r="O83" s="95">
        <v>0</v>
      </c>
      <c r="P83" s="42">
        <f t="shared" si="54"/>
        <v>10</v>
      </c>
      <c r="Q83" s="94">
        <v>18</v>
      </c>
      <c r="R83" s="262">
        <v>0</v>
      </c>
      <c r="S83" s="95">
        <v>0</v>
      </c>
      <c r="T83" s="42">
        <f t="shared" si="55"/>
        <v>18</v>
      </c>
      <c r="U83" s="94">
        <v>2</v>
      </c>
      <c r="V83" s="262">
        <v>0</v>
      </c>
      <c r="W83" s="95">
        <v>0</v>
      </c>
      <c r="X83" s="42">
        <f t="shared" si="56"/>
        <v>2</v>
      </c>
      <c r="Y83" s="94">
        <v>5</v>
      </c>
      <c r="Z83" s="262">
        <v>0</v>
      </c>
      <c r="AA83" s="95">
        <v>0</v>
      </c>
      <c r="AB83" s="42">
        <f t="shared" si="57"/>
        <v>5</v>
      </c>
      <c r="AC83" s="94">
        <v>53</v>
      </c>
      <c r="AD83" s="262">
        <v>0</v>
      </c>
      <c r="AE83" s="95">
        <v>0</v>
      </c>
      <c r="AF83" s="42">
        <f t="shared" si="58"/>
        <v>53</v>
      </c>
      <c r="AG83" s="94">
        <v>81</v>
      </c>
      <c r="AH83" s="262">
        <v>0</v>
      </c>
      <c r="AI83" s="95">
        <v>5</v>
      </c>
      <c r="AJ83" s="42">
        <f t="shared" si="59"/>
        <v>86</v>
      </c>
      <c r="AK83" s="94">
        <v>7</v>
      </c>
      <c r="AL83" s="262">
        <v>0</v>
      </c>
      <c r="AM83" s="95">
        <v>0</v>
      </c>
      <c r="AN83" s="42">
        <f t="shared" si="60"/>
        <v>7</v>
      </c>
      <c r="AO83" s="94">
        <v>1</v>
      </c>
      <c r="AP83" s="262">
        <v>0</v>
      </c>
      <c r="AQ83" s="95">
        <v>0</v>
      </c>
      <c r="AR83" s="42">
        <f t="shared" si="61"/>
        <v>1</v>
      </c>
      <c r="AS83" s="94">
        <v>10</v>
      </c>
      <c r="AT83" s="262">
        <v>0</v>
      </c>
      <c r="AU83" s="95">
        <v>0</v>
      </c>
      <c r="AV83" s="42">
        <f t="shared" si="62"/>
        <v>10</v>
      </c>
      <c r="AW83" s="94">
        <v>9</v>
      </c>
      <c r="AX83" s="262">
        <v>0</v>
      </c>
      <c r="AY83" s="95">
        <v>0</v>
      </c>
      <c r="AZ83" s="42">
        <f t="shared" si="63"/>
        <v>9</v>
      </c>
      <c r="BA83" s="94">
        <v>9</v>
      </c>
      <c r="BB83" s="262">
        <v>0</v>
      </c>
      <c r="BC83" s="95">
        <v>0</v>
      </c>
      <c r="BD83" s="42">
        <f t="shared" si="64"/>
        <v>9</v>
      </c>
      <c r="BE83" s="94">
        <v>7</v>
      </c>
      <c r="BF83" s="262">
        <v>0</v>
      </c>
      <c r="BG83" s="95">
        <v>0</v>
      </c>
      <c r="BH83" s="42">
        <f t="shared" si="65"/>
        <v>7</v>
      </c>
      <c r="BI83" s="94">
        <v>0</v>
      </c>
      <c r="BJ83" s="262">
        <v>0</v>
      </c>
      <c r="BK83" s="95">
        <v>0</v>
      </c>
      <c r="BL83" s="42">
        <f t="shared" si="66"/>
        <v>0</v>
      </c>
      <c r="BM83" s="251"/>
      <c r="BN83" s="251"/>
      <c r="BO83" s="251"/>
      <c r="BP83" s="251"/>
      <c r="BQ83" s="251"/>
      <c r="BR83" s="251"/>
      <c r="BS83" s="251"/>
      <c r="BT83" s="251"/>
      <c r="BU83" s="251"/>
    </row>
    <row r="84" spans="2:73" ht="24.95" customHeight="1">
      <c r="B84" s="37">
        <f t="shared" si="78"/>
        <v>0.71875009166666648</v>
      </c>
      <c r="C84" s="38" t="s">
        <v>9</v>
      </c>
      <c r="D84" s="47">
        <f t="shared" si="79"/>
        <v>0.72916676666666647</v>
      </c>
      <c r="E84" s="94">
        <v>19</v>
      </c>
      <c r="F84" s="262">
        <v>0</v>
      </c>
      <c r="G84" s="95">
        <v>0</v>
      </c>
      <c r="H84" s="42">
        <f t="shared" si="52"/>
        <v>19</v>
      </c>
      <c r="I84" s="94">
        <v>122</v>
      </c>
      <c r="J84" s="262">
        <v>0</v>
      </c>
      <c r="K84" s="95">
        <v>0</v>
      </c>
      <c r="L84" s="42">
        <f t="shared" si="53"/>
        <v>122</v>
      </c>
      <c r="M84" s="94">
        <v>17</v>
      </c>
      <c r="N84" s="262">
        <v>0</v>
      </c>
      <c r="O84" s="95">
        <v>0</v>
      </c>
      <c r="P84" s="42">
        <f t="shared" si="54"/>
        <v>17</v>
      </c>
      <c r="Q84" s="94">
        <v>4</v>
      </c>
      <c r="R84" s="262">
        <v>0</v>
      </c>
      <c r="S84" s="95">
        <v>0</v>
      </c>
      <c r="T84" s="42">
        <f t="shared" si="55"/>
        <v>4</v>
      </c>
      <c r="U84" s="94">
        <v>0</v>
      </c>
      <c r="V84" s="262">
        <v>0</v>
      </c>
      <c r="W84" s="95">
        <v>0</v>
      </c>
      <c r="X84" s="42">
        <f t="shared" si="56"/>
        <v>0</v>
      </c>
      <c r="Y84" s="94">
        <v>10</v>
      </c>
      <c r="Z84" s="262">
        <v>0</v>
      </c>
      <c r="AA84" s="95">
        <v>0</v>
      </c>
      <c r="AB84" s="42">
        <f t="shared" si="57"/>
        <v>10</v>
      </c>
      <c r="AC84" s="94">
        <v>62</v>
      </c>
      <c r="AD84" s="262">
        <v>0</v>
      </c>
      <c r="AE84" s="95">
        <v>0</v>
      </c>
      <c r="AF84" s="42">
        <f t="shared" si="58"/>
        <v>62</v>
      </c>
      <c r="AG84" s="94">
        <v>86</v>
      </c>
      <c r="AH84" s="262">
        <v>1</v>
      </c>
      <c r="AI84" s="95">
        <v>5</v>
      </c>
      <c r="AJ84" s="42">
        <f t="shared" si="59"/>
        <v>92</v>
      </c>
      <c r="AK84" s="94">
        <v>14</v>
      </c>
      <c r="AL84" s="262">
        <v>0</v>
      </c>
      <c r="AM84" s="95">
        <v>0</v>
      </c>
      <c r="AN84" s="42">
        <f t="shared" si="60"/>
        <v>14</v>
      </c>
      <c r="AO84" s="94">
        <v>2</v>
      </c>
      <c r="AP84" s="262">
        <v>0</v>
      </c>
      <c r="AQ84" s="95">
        <v>0</v>
      </c>
      <c r="AR84" s="42">
        <f t="shared" si="61"/>
        <v>2</v>
      </c>
      <c r="AS84" s="94">
        <v>11</v>
      </c>
      <c r="AT84" s="262">
        <v>0</v>
      </c>
      <c r="AU84" s="95">
        <v>0</v>
      </c>
      <c r="AV84" s="42">
        <f t="shared" si="62"/>
        <v>11</v>
      </c>
      <c r="AW84" s="94">
        <v>6</v>
      </c>
      <c r="AX84" s="262">
        <v>0</v>
      </c>
      <c r="AY84" s="95">
        <v>0</v>
      </c>
      <c r="AZ84" s="42">
        <f t="shared" si="63"/>
        <v>6</v>
      </c>
      <c r="BA84" s="94">
        <v>9</v>
      </c>
      <c r="BB84" s="262">
        <v>0</v>
      </c>
      <c r="BC84" s="95">
        <v>0</v>
      </c>
      <c r="BD84" s="42">
        <f t="shared" si="64"/>
        <v>9</v>
      </c>
      <c r="BE84" s="94">
        <v>4</v>
      </c>
      <c r="BF84" s="262">
        <v>0</v>
      </c>
      <c r="BG84" s="95">
        <v>0</v>
      </c>
      <c r="BH84" s="42">
        <f t="shared" si="65"/>
        <v>4</v>
      </c>
      <c r="BI84" s="94">
        <v>0</v>
      </c>
      <c r="BJ84" s="262">
        <v>0</v>
      </c>
      <c r="BK84" s="95">
        <v>0</v>
      </c>
      <c r="BL84" s="42">
        <f t="shared" si="66"/>
        <v>0</v>
      </c>
      <c r="BM84" s="251"/>
      <c r="BN84" s="251"/>
      <c r="BO84" s="251"/>
      <c r="BP84" s="251"/>
      <c r="BQ84" s="251"/>
      <c r="BR84" s="251"/>
      <c r="BS84" s="251"/>
      <c r="BT84" s="251"/>
      <c r="BU84" s="251"/>
    </row>
    <row r="85" spans="2:73" ht="24.95" customHeight="1">
      <c r="B85" s="37">
        <f t="shared" si="78"/>
        <v>0.72916676666666647</v>
      </c>
      <c r="C85" s="38" t="s">
        <v>9</v>
      </c>
      <c r="D85" s="47">
        <f t="shared" si="79"/>
        <v>0.73958344166666645</v>
      </c>
      <c r="E85" s="94">
        <v>27</v>
      </c>
      <c r="F85" s="262">
        <v>0</v>
      </c>
      <c r="G85" s="95">
        <v>0</v>
      </c>
      <c r="H85" s="42">
        <f t="shared" si="52"/>
        <v>27</v>
      </c>
      <c r="I85" s="94">
        <v>152</v>
      </c>
      <c r="J85" s="262">
        <v>0</v>
      </c>
      <c r="K85" s="95">
        <v>0</v>
      </c>
      <c r="L85" s="42">
        <f t="shared" si="53"/>
        <v>152</v>
      </c>
      <c r="M85" s="94">
        <v>10</v>
      </c>
      <c r="N85" s="262">
        <v>0</v>
      </c>
      <c r="O85" s="95">
        <v>0</v>
      </c>
      <c r="P85" s="42">
        <f t="shared" si="54"/>
        <v>10</v>
      </c>
      <c r="Q85" s="94">
        <v>12</v>
      </c>
      <c r="R85" s="262">
        <v>0</v>
      </c>
      <c r="S85" s="95">
        <v>0</v>
      </c>
      <c r="T85" s="42">
        <f t="shared" si="55"/>
        <v>12</v>
      </c>
      <c r="U85" s="94">
        <v>0</v>
      </c>
      <c r="V85" s="262">
        <v>0</v>
      </c>
      <c r="W85" s="95">
        <v>0</v>
      </c>
      <c r="X85" s="42">
        <f t="shared" si="56"/>
        <v>0</v>
      </c>
      <c r="Y85" s="94">
        <v>13</v>
      </c>
      <c r="Z85" s="262">
        <v>0</v>
      </c>
      <c r="AA85" s="95">
        <v>0</v>
      </c>
      <c r="AB85" s="42">
        <f t="shared" si="57"/>
        <v>13</v>
      </c>
      <c r="AC85" s="94">
        <v>48</v>
      </c>
      <c r="AD85" s="262">
        <v>1</v>
      </c>
      <c r="AE85" s="95">
        <v>0</v>
      </c>
      <c r="AF85" s="42">
        <f t="shared" si="58"/>
        <v>49</v>
      </c>
      <c r="AG85" s="94">
        <v>89</v>
      </c>
      <c r="AH85" s="262">
        <v>2</v>
      </c>
      <c r="AI85" s="95">
        <v>5</v>
      </c>
      <c r="AJ85" s="42">
        <f t="shared" si="59"/>
        <v>96</v>
      </c>
      <c r="AK85" s="94">
        <v>15</v>
      </c>
      <c r="AL85" s="262">
        <v>0</v>
      </c>
      <c r="AM85" s="95">
        <v>0</v>
      </c>
      <c r="AN85" s="42">
        <f t="shared" si="60"/>
        <v>15</v>
      </c>
      <c r="AO85" s="94">
        <v>2</v>
      </c>
      <c r="AP85" s="262">
        <v>0</v>
      </c>
      <c r="AQ85" s="95">
        <v>0</v>
      </c>
      <c r="AR85" s="42">
        <f t="shared" si="61"/>
        <v>2</v>
      </c>
      <c r="AS85" s="94">
        <v>10</v>
      </c>
      <c r="AT85" s="262">
        <v>0</v>
      </c>
      <c r="AU85" s="95">
        <v>0</v>
      </c>
      <c r="AV85" s="42">
        <f t="shared" si="62"/>
        <v>10</v>
      </c>
      <c r="AW85" s="94">
        <v>8</v>
      </c>
      <c r="AX85" s="262">
        <v>0</v>
      </c>
      <c r="AY85" s="95">
        <v>0</v>
      </c>
      <c r="AZ85" s="42">
        <f t="shared" si="63"/>
        <v>8</v>
      </c>
      <c r="BA85" s="94">
        <v>10</v>
      </c>
      <c r="BB85" s="262">
        <v>0</v>
      </c>
      <c r="BC85" s="95">
        <v>0</v>
      </c>
      <c r="BD85" s="42">
        <f t="shared" si="64"/>
        <v>10</v>
      </c>
      <c r="BE85" s="94">
        <v>6</v>
      </c>
      <c r="BF85" s="262">
        <v>0</v>
      </c>
      <c r="BG85" s="95">
        <v>0</v>
      </c>
      <c r="BH85" s="42">
        <f t="shared" si="65"/>
        <v>6</v>
      </c>
      <c r="BI85" s="94">
        <v>0</v>
      </c>
      <c r="BJ85" s="262">
        <v>0</v>
      </c>
      <c r="BK85" s="95">
        <v>0</v>
      </c>
      <c r="BL85" s="42">
        <f t="shared" si="66"/>
        <v>0</v>
      </c>
      <c r="BM85" s="251"/>
      <c r="BN85" s="251"/>
      <c r="BO85" s="251"/>
      <c r="BP85" s="251"/>
      <c r="BQ85" s="251"/>
      <c r="BR85" s="251"/>
      <c r="BS85" s="251"/>
      <c r="BT85" s="251"/>
      <c r="BU85" s="251"/>
    </row>
    <row r="86" spans="2:73" ht="24.95" customHeight="1">
      <c r="B86" s="37">
        <f t="shared" si="78"/>
        <v>0.73958344166666645</v>
      </c>
      <c r="C86" s="38" t="s">
        <v>9</v>
      </c>
      <c r="D86" s="47">
        <f t="shared" si="79"/>
        <v>0.75000011666666644</v>
      </c>
      <c r="E86" s="94">
        <v>26</v>
      </c>
      <c r="F86" s="262">
        <v>0</v>
      </c>
      <c r="G86" s="95">
        <v>0</v>
      </c>
      <c r="H86" s="42">
        <f t="shared" si="52"/>
        <v>26</v>
      </c>
      <c r="I86" s="94">
        <v>133</v>
      </c>
      <c r="J86" s="262">
        <v>2</v>
      </c>
      <c r="K86" s="95">
        <v>0</v>
      </c>
      <c r="L86" s="42">
        <f t="shared" si="53"/>
        <v>135</v>
      </c>
      <c r="M86" s="94">
        <v>13</v>
      </c>
      <c r="N86" s="262">
        <v>0</v>
      </c>
      <c r="O86" s="95">
        <v>0</v>
      </c>
      <c r="P86" s="42">
        <f t="shared" si="54"/>
        <v>13</v>
      </c>
      <c r="Q86" s="94">
        <v>8</v>
      </c>
      <c r="R86" s="262">
        <v>0</v>
      </c>
      <c r="S86" s="95">
        <v>0</v>
      </c>
      <c r="T86" s="42">
        <f t="shared" si="55"/>
        <v>8</v>
      </c>
      <c r="U86" s="94">
        <v>0</v>
      </c>
      <c r="V86" s="262">
        <v>0</v>
      </c>
      <c r="W86" s="95">
        <v>0</v>
      </c>
      <c r="X86" s="42">
        <f t="shared" si="56"/>
        <v>0</v>
      </c>
      <c r="Y86" s="94">
        <v>5</v>
      </c>
      <c r="Z86" s="262">
        <v>0</v>
      </c>
      <c r="AA86" s="95">
        <v>0</v>
      </c>
      <c r="AB86" s="42">
        <f t="shared" si="57"/>
        <v>5</v>
      </c>
      <c r="AC86" s="94">
        <v>51</v>
      </c>
      <c r="AD86" s="262">
        <v>0</v>
      </c>
      <c r="AE86" s="95">
        <v>0</v>
      </c>
      <c r="AF86" s="42">
        <f t="shared" si="58"/>
        <v>51</v>
      </c>
      <c r="AG86" s="94">
        <v>70</v>
      </c>
      <c r="AH86" s="262">
        <v>0</v>
      </c>
      <c r="AI86" s="95">
        <v>8</v>
      </c>
      <c r="AJ86" s="42">
        <f t="shared" si="59"/>
        <v>78</v>
      </c>
      <c r="AK86" s="94">
        <v>5</v>
      </c>
      <c r="AL86" s="262">
        <v>0</v>
      </c>
      <c r="AM86" s="95">
        <v>0</v>
      </c>
      <c r="AN86" s="42">
        <f t="shared" si="60"/>
        <v>5</v>
      </c>
      <c r="AO86" s="94">
        <v>2</v>
      </c>
      <c r="AP86" s="262">
        <v>0</v>
      </c>
      <c r="AQ86" s="95">
        <v>0</v>
      </c>
      <c r="AR86" s="42">
        <f t="shared" si="61"/>
        <v>2</v>
      </c>
      <c r="AS86" s="94">
        <v>14</v>
      </c>
      <c r="AT86" s="262">
        <v>0</v>
      </c>
      <c r="AU86" s="95">
        <v>0</v>
      </c>
      <c r="AV86" s="42">
        <f t="shared" si="62"/>
        <v>14</v>
      </c>
      <c r="AW86" s="94">
        <v>4</v>
      </c>
      <c r="AX86" s="262">
        <v>0</v>
      </c>
      <c r="AY86" s="95">
        <v>0</v>
      </c>
      <c r="AZ86" s="42">
        <f t="shared" si="63"/>
        <v>4</v>
      </c>
      <c r="BA86" s="94">
        <v>3</v>
      </c>
      <c r="BB86" s="262">
        <v>0</v>
      </c>
      <c r="BC86" s="95">
        <v>0</v>
      </c>
      <c r="BD86" s="42">
        <f t="shared" si="64"/>
        <v>3</v>
      </c>
      <c r="BE86" s="94">
        <v>12</v>
      </c>
      <c r="BF86" s="262">
        <v>0</v>
      </c>
      <c r="BG86" s="95">
        <v>0</v>
      </c>
      <c r="BH86" s="42">
        <f t="shared" si="65"/>
        <v>12</v>
      </c>
      <c r="BI86" s="94">
        <v>0</v>
      </c>
      <c r="BJ86" s="262">
        <v>0</v>
      </c>
      <c r="BK86" s="95">
        <v>0</v>
      </c>
      <c r="BL86" s="42">
        <f t="shared" si="66"/>
        <v>0</v>
      </c>
      <c r="BM86" s="251"/>
      <c r="BN86" s="251"/>
      <c r="BO86" s="251"/>
      <c r="BP86" s="251"/>
      <c r="BQ86" s="251"/>
      <c r="BR86" s="251"/>
      <c r="BS86" s="251"/>
      <c r="BT86" s="251"/>
      <c r="BU86" s="251"/>
    </row>
    <row r="87" spans="2:73" ht="24.95" customHeight="1">
      <c r="B87" s="37">
        <f t="shared" si="78"/>
        <v>0.75000011666666644</v>
      </c>
      <c r="C87" s="38" t="s">
        <v>9</v>
      </c>
      <c r="D87" s="47">
        <f t="shared" si="79"/>
        <v>0.76041679166666643</v>
      </c>
      <c r="E87" s="94">
        <v>10</v>
      </c>
      <c r="F87" s="262">
        <v>0</v>
      </c>
      <c r="G87" s="95">
        <v>0</v>
      </c>
      <c r="H87" s="42">
        <f t="shared" si="52"/>
        <v>10</v>
      </c>
      <c r="I87" s="94">
        <v>112</v>
      </c>
      <c r="J87" s="262">
        <v>0</v>
      </c>
      <c r="K87" s="95">
        <v>0</v>
      </c>
      <c r="L87" s="42">
        <f t="shared" si="53"/>
        <v>112</v>
      </c>
      <c r="M87" s="94">
        <v>8</v>
      </c>
      <c r="N87" s="262">
        <v>0</v>
      </c>
      <c r="O87" s="95">
        <v>0</v>
      </c>
      <c r="P87" s="42">
        <f t="shared" si="54"/>
        <v>8</v>
      </c>
      <c r="Q87" s="94">
        <v>7</v>
      </c>
      <c r="R87" s="262">
        <v>0</v>
      </c>
      <c r="S87" s="95">
        <v>0</v>
      </c>
      <c r="T87" s="42">
        <f t="shared" si="55"/>
        <v>7</v>
      </c>
      <c r="U87" s="94">
        <v>0</v>
      </c>
      <c r="V87" s="262">
        <v>0</v>
      </c>
      <c r="W87" s="95">
        <v>0</v>
      </c>
      <c r="X87" s="42">
        <f t="shared" si="56"/>
        <v>0</v>
      </c>
      <c r="Y87" s="94">
        <v>11</v>
      </c>
      <c r="Z87" s="262">
        <v>0</v>
      </c>
      <c r="AA87" s="95">
        <v>0</v>
      </c>
      <c r="AB87" s="42">
        <f t="shared" si="57"/>
        <v>11</v>
      </c>
      <c r="AC87" s="94">
        <v>45</v>
      </c>
      <c r="AD87" s="262">
        <v>1</v>
      </c>
      <c r="AE87" s="95">
        <v>0</v>
      </c>
      <c r="AF87" s="42">
        <f t="shared" si="58"/>
        <v>46</v>
      </c>
      <c r="AG87" s="94">
        <v>64</v>
      </c>
      <c r="AH87" s="262">
        <v>1</v>
      </c>
      <c r="AI87" s="95">
        <v>5</v>
      </c>
      <c r="AJ87" s="42">
        <f t="shared" si="59"/>
        <v>70</v>
      </c>
      <c r="AK87" s="94">
        <v>12</v>
      </c>
      <c r="AL87" s="262">
        <v>0</v>
      </c>
      <c r="AM87" s="95">
        <v>0</v>
      </c>
      <c r="AN87" s="42">
        <f t="shared" si="60"/>
        <v>12</v>
      </c>
      <c r="AO87" s="94">
        <v>3</v>
      </c>
      <c r="AP87" s="262">
        <v>0</v>
      </c>
      <c r="AQ87" s="95">
        <v>0</v>
      </c>
      <c r="AR87" s="42">
        <f t="shared" si="61"/>
        <v>3</v>
      </c>
      <c r="AS87" s="94">
        <v>8</v>
      </c>
      <c r="AT87" s="262">
        <v>0</v>
      </c>
      <c r="AU87" s="95">
        <v>0</v>
      </c>
      <c r="AV87" s="42">
        <f t="shared" si="62"/>
        <v>8</v>
      </c>
      <c r="AW87" s="94">
        <v>6</v>
      </c>
      <c r="AX87" s="262">
        <v>0</v>
      </c>
      <c r="AY87" s="95">
        <v>0</v>
      </c>
      <c r="AZ87" s="42">
        <f t="shared" si="63"/>
        <v>6</v>
      </c>
      <c r="BA87" s="94">
        <v>9</v>
      </c>
      <c r="BB87" s="262">
        <v>0</v>
      </c>
      <c r="BC87" s="95">
        <v>0</v>
      </c>
      <c r="BD87" s="42">
        <f t="shared" si="64"/>
        <v>9</v>
      </c>
      <c r="BE87" s="94">
        <v>5</v>
      </c>
      <c r="BF87" s="262">
        <v>0</v>
      </c>
      <c r="BG87" s="95">
        <v>0</v>
      </c>
      <c r="BH87" s="42">
        <f t="shared" si="65"/>
        <v>5</v>
      </c>
      <c r="BI87" s="94">
        <v>0</v>
      </c>
      <c r="BJ87" s="262">
        <v>0</v>
      </c>
      <c r="BK87" s="95">
        <v>0</v>
      </c>
      <c r="BL87" s="42">
        <f t="shared" si="66"/>
        <v>0</v>
      </c>
      <c r="BM87" s="251"/>
      <c r="BN87" s="251"/>
      <c r="BO87" s="251"/>
      <c r="BP87" s="251"/>
      <c r="BQ87" s="251"/>
      <c r="BR87" s="251"/>
      <c r="BS87" s="251"/>
      <c r="BT87" s="251"/>
      <c r="BU87" s="251"/>
    </row>
    <row r="88" spans="2:73" ht="24.95" customHeight="1" thickBot="1">
      <c r="B88" s="37">
        <f t="shared" si="78"/>
        <v>0.76041679166666643</v>
      </c>
      <c r="C88" s="38" t="s">
        <v>9</v>
      </c>
      <c r="D88" s="47">
        <f t="shared" si="79"/>
        <v>0.77083346666666641</v>
      </c>
      <c r="E88" s="94">
        <v>16</v>
      </c>
      <c r="F88" s="262">
        <v>0</v>
      </c>
      <c r="G88" s="95">
        <v>0</v>
      </c>
      <c r="H88" s="42">
        <f t="shared" si="52"/>
        <v>16</v>
      </c>
      <c r="I88" s="94">
        <v>128</v>
      </c>
      <c r="J88" s="262">
        <v>1</v>
      </c>
      <c r="K88" s="95">
        <v>0</v>
      </c>
      <c r="L88" s="42">
        <f t="shared" si="53"/>
        <v>129</v>
      </c>
      <c r="M88" s="94">
        <v>7</v>
      </c>
      <c r="N88" s="262">
        <v>0</v>
      </c>
      <c r="O88" s="95">
        <v>0</v>
      </c>
      <c r="P88" s="42">
        <f t="shared" si="54"/>
        <v>7</v>
      </c>
      <c r="Q88" s="94">
        <v>10</v>
      </c>
      <c r="R88" s="262">
        <v>0</v>
      </c>
      <c r="S88" s="95">
        <v>0</v>
      </c>
      <c r="T88" s="42">
        <f t="shared" si="55"/>
        <v>10</v>
      </c>
      <c r="U88" s="94">
        <v>2</v>
      </c>
      <c r="V88" s="262">
        <v>0</v>
      </c>
      <c r="W88" s="95">
        <v>0</v>
      </c>
      <c r="X88" s="42">
        <f t="shared" si="56"/>
        <v>2</v>
      </c>
      <c r="Y88" s="94">
        <v>10</v>
      </c>
      <c r="Z88" s="262">
        <v>0</v>
      </c>
      <c r="AA88" s="95">
        <v>0</v>
      </c>
      <c r="AB88" s="42">
        <f t="shared" si="57"/>
        <v>10</v>
      </c>
      <c r="AC88" s="94">
        <v>45</v>
      </c>
      <c r="AD88" s="262">
        <v>0</v>
      </c>
      <c r="AE88" s="95">
        <v>0</v>
      </c>
      <c r="AF88" s="42">
        <f t="shared" si="58"/>
        <v>45</v>
      </c>
      <c r="AG88" s="94">
        <v>47</v>
      </c>
      <c r="AH88" s="262">
        <v>0</v>
      </c>
      <c r="AI88" s="95">
        <v>6</v>
      </c>
      <c r="AJ88" s="42">
        <f t="shared" si="59"/>
        <v>53</v>
      </c>
      <c r="AK88" s="94">
        <v>11</v>
      </c>
      <c r="AL88" s="262">
        <v>0</v>
      </c>
      <c r="AM88" s="95">
        <v>0</v>
      </c>
      <c r="AN88" s="42">
        <f t="shared" si="60"/>
        <v>11</v>
      </c>
      <c r="AO88" s="94">
        <v>4</v>
      </c>
      <c r="AP88" s="262">
        <v>0</v>
      </c>
      <c r="AQ88" s="95">
        <v>0</v>
      </c>
      <c r="AR88" s="42">
        <f t="shared" si="61"/>
        <v>4</v>
      </c>
      <c r="AS88" s="94">
        <v>14</v>
      </c>
      <c r="AT88" s="262">
        <v>0</v>
      </c>
      <c r="AU88" s="95">
        <v>0</v>
      </c>
      <c r="AV88" s="42">
        <f t="shared" si="62"/>
        <v>14</v>
      </c>
      <c r="AW88" s="94">
        <v>5</v>
      </c>
      <c r="AX88" s="262">
        <v>0</v>
      </c>
      <c r="AY88" s="95">
        <v>0</v>
      </c>
      <c r="AZ88" s="42">
        <f t="shared" si="63"/>
        <v>5</v>
      </c>
      <c r="BA88" s="94">
        <v>5</v>
      </c>
      <c r="BB88" s="262">
        <v>0</v>
      </c>
      <c r="BC88" s="95">
        <v>0</v>
      </c>
      <c r="BD88" s="42">
        <f t="shared" si="64"/>
        <v>5</v>
      </c>
      <c r="BE88" s="94">
        <v>6</v>
      </c>
      <c r="BF88" s="262">
        <v>0</v>
      </c>
      <c r="BG88" s="95">
        <v>0</v>
      </c>
      <c r="BH88" s="42">
        <f t="shared" si="65"/>
        <v>6</v>
      </c>
      <c r="BI88" s="94">
        <v>0</v>
      </c>
      <c r="BJ88" s="262">
        <v>0</v>
      </c>
      <c r="BK88" s="95">
        <v>0</v>
      </c>
      <c r="BL88" s="42">
        <f t="shared" si="66"/>
        <v>0</v>
      </c>
      <c r="BM88" s="251"/>
      <c r="BN88" s="251"/>
      <c r="BO88" s="251"/>
      <c r="BP88" s="251"/>
      <c r="BQ88" s="251"/>
      <c r="BR88" s="251"/>
      <c r="BS88" s="251"/>
      <c r="BT88" s="251"/>
      <c r="BU88" s="251"/>
    </row>
    <row r="89" spans="2:73" ht="30" customHeight="1" thickBot="1">
      <c r="B89" s="369" t="str">
        <f>B51</f>
        <v>PM Totals</v>
      </c>
      <c r="C89" s="370"/>
      <c r="D89" s="371"/>
      <c r="E89" s="44">
        <f>SUM(E73:E88)</f>
        <v>311</v>
      </c>
      <c r="F89" s="263">
        <f>SUM(F73:F88)</f>
        <v>1</v>
      </c>
      <c r="G89" s="45">
        <f>SUM(G73:G88)</f>
        <v>0</v>
      </c>
      <c r="H89" s="46">
        <f t="shared" si="52"/>
        <v>312</v>
      </c>
      <c r="I89" s="44">
        <f>SUM(I73:I88)</f>
        <v>2054</v>
      </c>
      <c r="J89" s="263">
        <f>SUM(J73:J88)</f>
        <v>16</v>
      </c>
      <c r="K89" s="45">
        <f>SUM(K73:K88)</f>
        <v>1</v>
      </c>
      <c r="L89" s="46">
        <f t="shared" si="53"/>
        <v>2071</v>
      </c>
      <c r="M89" s="44">
        <f>SUM(M73:M88)</f>
        <v>121</v>
      </c>
      <c r="N89" s="263">
        <f>SUM(N73:N88)</f>
        <v>2</v>
      </c>
      <c r="O89" s="45">
        <f>SUM(O73:O88)</f>
        <v>0</v>
      </c>
      <c r="P89" s="46">
        <f t="shared" si="54"/>
        <v>123</v>
      </c>
      <c r="Q89" s="44">
        <f>SUM(Q73:Q88)</f>
        <v>155</v>
      </c>
      <c r="R89" s="263">
        <f>SUM(R73:R88)</f>
        <v>1</v>
      </c>
      <c r="S89" s="45">
        <f>SUM(S73:S88)</f>
        <v>0</v>
      </c>
      <c r="T89" s="46">
        <f t="shared" si="55"/>
        <v>156</v>
      </c>
      <c r="U89" s="44">
        <f>SUM(U73:U88)</f>
        <v>10</v>
      </c>
      <c r="V89" s="263">
        <f>SUM(V73:V88)</f>
        <v>0</v>
      </c>
      <c r="W89" s="45">
        <f>SUM(W73:W88)</f>
        <v>0</v>
      </c>
      <c r="X89" s="46">
        <f t="shared" si="56"/>
        <v>10</v>
      </c>
      <c r="Y89" s="44">
        <f>SUM(Y73:Y88)</f>
        <v>148</v>
      </c>
      <c r="Z89" s="263">
        <f>SUM(Z73:Z88)</f>
        <v>1</v>
      </c>
      <c r="AA89" s="45">
        <f>SUM(AA73:AA88)</f>
        <v>0</v>
      </c>
      <c r="AB89" s="46">
        <f t="shared" si="57"/>
        <v>149</v>
      </c>
      <c r="AC89" s="44">
        <f>SUM(AC73:AC88)</f>
        <v>890</v>
      </c>
      <c r="AD89" s="263">
        <f>SUM(AD73:AD88)</f>
        <v>13</v>
      </c>
      <c r="AE89" s="45">
        <f>SUM(AE73:AE88)</f>
        <v>0</v>
      </c>
      <c r="AF89" s="46">
        <f t="shared" si="58"/>
        <v>903</v>
      </c>
      <c r="AG89" s="44">
        <f>SUM(AG73:AG88)</f>
        <v>1214</v>
      </c>
      <c r="AH89" s="263">
        <f>SUM(AH73:AH88)</f>
        <v>19</v>
      </c>
      <c r="AI89" s="45">
        <f>SUM(AI73:AI88)</f>
        <v>83</v>
      </c>
      <c r="AJ89" s="46">
        <f t="shared" si="59"/>
        <v>1316</v>
      </c>
      <c r="AK89" s="44">
        <f>SUM(AK73:AK88)</f>
        <v>163</v>
      </c>
      <c r="AL89" s="263">
        <f>SUM(AL73:AL88)</f>
        <v>0</v>
      </c>
      <c r="AM89" s="45">
        <f>SUM(AM73:AM88)</f>
        <v>0</v>
      </c>
      <c r="AN89" s="46">
        <f t="shared" si="60"/>
        <v>163</v>
      </c>
      <c r="AO89" s="44">
        <f>SUM(AO73:AO88)</f>
        <v>42</v>
      </c>
      <c r="AP89" s="263">
        <f>SUM(AP73:AP88)</f>
        <v>0</v>
      </c>
      <c r="AQ89" s="45">
        <f>SUM(AQ73:AQ88)</f>
        <v>0</v>
      </c>
      <c r="AR89" s="46">
        <f t="shared" si="61"/>
        <v>42</v>
      </c>
      <c r="AS89" s="44">
        <f>SUM(AS73:AS88)</f>
        <v>139</v>
      </c>
      <c r="AT89" s="263">
        <f>SUM(AT73:AT88)</f>
        <v>0</v>
      </c>
      <c r="AU89" s="45">
        <f>SUM(AU73:AU88)</f>
        <v>0</v>
      </c>
      <c r="AV89" s="46">
        <f t="shared" si="62"/>
        <v>139</v>
      </c>
      <c r="AW89" s="44">
        <f>SUM(AW73:AW88)</f>
        <v>80</v>
      </c>
      <c r="AX89" s="263">
        <f>SUM(AX73:AX88)</f>
        <v>0</v>
      </c>
      <c r="AY89" s="45">
        <f>SUM(AY73:AY88)</f>
        <v>0</v>
      </c>
      <c r="AZ89" s="46">
        <f t="shared" si="63"/>
        <v>80</v>
      </c>
      <c r="BA89" s="44">
        <f>SUM(BA73:BA88)</f>
        <v>107</v>
      </c>
      <c r="BB89" s="263">
        <f>SUM(BB73:BB88)</f>
        <v>0</v>
      </c>
      <c r="BC89" s="45">
        <f>SUM(BC73:BC88)</f>
        <v>0</v>
      </c>
      <c r="BD89" s="46">
        <f t="shared" si="64"/>
        <v>107</v>
      </c>
      <c r="BE89" s="44">
        <f>SUM(BE73:BE88)</f>
        <v>109</v>
      </c>
      <c r="BF89" s="263">
        <f>SUM(BF73:BF88)</f>
        <v>1</v>
      </c>
      <c r="BG89" s="45">
        <f>SUM(BG73:BG88)</f>
        <v>0</v>
      </c>
      <c r="BH89" s="46">
        <f t="shared" si="65"/>
        <v>110</v>
      </c>
      <c r="BI89" s="44">
        <f>SUM(BI73:BI88)</f>
        <v>1</v>
      </c>
      <c r="BJ89" s="263">
        <f>SUM(BJ73:BJ88)</f>
        <v>0</v>
      </c>
      <c r="BK89" s="45">
        <f>SUM(BK73:BK88)</f>
        <v>0</v>
      </c>
      <c r="BL89" s="46">
        <f t="shared" si="66"/>
        <v>1</v>
      </c>
      <c r="BM89" s="251"/>
      <c r="BN89" s="251"/>
      <c r="BO89" s="251"/>
      <c r="BP89" s="251"/>
      <c r="BQ89" s="251"/>
      <c r="BR89" s="251"/>
      <c r="BS89" s="251"/>
      <c r="BT89" s="251"/>
      <c r="BU89" s="251"/>
    </row>
    <row r="91" spans="2:73" ht="24.75" customHeight="1"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2:73" ht="30" customHeight="1">
      <c r="O92" s="49"/>
      <c r="U92" s="351" t="str">
        <f>U2</f>
        <v>Great N Rd</v>
      </c>
      <c r="V92" s="351"/>
      <c r="W92" s="351"/>
      <c r="X92" s="351"/>
      <c r="Y92" s="351"/>
      <c r="AD92" s="2"/>
    </row>
    <row r="93" spans="2:73" ht="24.95" customHeight="1">
      <c r="B93" s="3" t="s">
        <v>0</v>
      </c>
      <c r="C93" s="4"/>
      <c r="D93" s="4"/>
      <c r="E93" s="4" t="str">
        <f>E3</f>
        <v>: NZNth13356</v>
      </c>
      <c r="F93" s="4"/>
      <c r="O93" s="6"/>
      <c r="S93" s="352" t="str">
        <f>S3</f>
        <v>Wingate St</v>
      </c>
      <c r="T93" s="7"/>
      <c r="U93" s="8"/>
      <c r="V93" s="282"/>
      <c r="W93" s="10"/>
      <c r="X93" s="281"/>
      <c r="Y93" s="8"/>
      <c r="Z93" s="12"/>
      <c r="AA93" s="380" t="str">
        <f>AA3</f>
        <v>St Jude St</v>
      </c>
      <c r="AB93" s="8"/>
      <c r="AC93" s="2"/>
      <c r="AD93" s="2"/>
      <c r="AE93" s="2"/>
    </row>
    <row r="94" spans="2:73" ht="24.95" customHeight="1">
      <c r="B94" s="3" t="s">
        <v>1</v>
      </c>
      <c r="C94" s="4"/>
      <c r="D94" s="4"/>
      <c r="E94" s="4" t="str">
        <f>E4</f>
        <v>: Auckland Transport</v>
      </c>
      <c r="F94" s="4"/>
      <c r="S94" s="352"/>
      <c r="T94" s="13"/>
      <c r="U94" s="280"/>
      <c r="V94" s="9"/>
      <c r="W94" s="2"/>
      <c r="X94" s="11"/>
      <c r="Y94" s="280"/>
      <c r="Z94" s="14"/>
      <c r="AA94" s="380"/>
      <c r="AB94" s="2"/>
      <c r="AC94" s="2"/>
      <c r="AD94" s="2"/>
      <c r="AE94" s="2"/>
    </row>
    <row r="95" spans="2:73" ht="24.95" customHeight="1">
      <c r="B95" s="3" t="s">
        <v>2</v>
      </c>
      <c r="C95" s="4"/>
      <c r="D95" s="4"/>
      <c r="E95" s="4" t="str">
        <f>E5</f>
        <v>: Preston Road Surveys</v>
      </c>
      <c r="F95" s="4"/>
      <c r="S95" s="352"/>
      <c r="T95" s="15"/>
      <c r="U95" s="16"/>
      <c r="V95" s="9"/>
      <c r="W95" s="2"/>
      <c r="X95" s="11"/>
      <c r="Y95" s="8"/>
      <c r="Z95" s="10"/>
      <c r="AA95" s="380"/>
      <c r="AB95" s="2"/>
      <c r="AC95" s="2"/>
      <c r="AD95" s="2"/>
      <c r="AE95" s="2"/>
    </row>
    <row r="96" spans="2:73" ht="24.95" customHeight="1">
      <c r="B96" s="3" t="s">
        <v>3</v>
      </c>
      <c r="C96" s="4"/>
      <c r="D96" s="4"/>
      <c r="E96" s="4" t="str">
        <f>E6</f>
        <v>: 2. Great N Rd / St Georges Rd / St Jude St / Wingate St</v>
      </c>
      <c r="F96" s="4"/>
      <c r="S96" s="352"/>
      <c r="T96" s="17"/>
      <c r="U96" s="16"/>
      <c r="V96" s="8"/>
      <c r="W96" s="8"/>
      <c r="X96" s="8"/>
      <c r="Y96" s="8"/>
      <c r="Z96" s="10"/>
      <c r="AA96" s="380"/>
      <c r="AC96" s="2"/>
      <c r="AE96" s="2"/>
    </row>
    <row r="97" spans="2:88" ht="24.95" customHeight="1">
      <c r="B97" s="4"/>
      <c r="C97" s="4"/>
      <c r="D97" s="4"/>
      <c r="E97" s="4"/>
      <c r="F97" s="4"/>
      <c r="S97" s="352"/>
      <c r="U97" s="16"/>
      <c r="V97" s="8"/>
      <c r="W97" s="8"/>
      <c r="X97" s="8"/>
      <c r="Y97" s="8"/>
      <c r="Z97" s="14"/>
      <c r="AA97" s="380"/>
      <c r="AC97" s="2"/>
      <c r="AE97" s="2"/>
    </row>
    <row r="98" spans="2:88" ht="24.95" customHeight="1">
      <c r="B98" s="3" t="s">
        <v>12</v>
      </c>
      <c r="C98" s="4"/>
      <c r="D98" s="4"/>
      <c r="E98" s="4" t="str">
        <f>E8</f>
        <v>: Wed, 3 September 2025</v>
      </c>
      <c r="F98" s="4"/>
      <c r="S98" s="352"/>
      <c r="T98" s="277"/>
      <c r="U98" s="16"/>
      <c r="V98" s="8"/>
      <c r="W98" s="8"/>
      <c r="X98" s="8"/>
      <c r="Y98" s="8"/>
      <c r="Z98" s="278"/>
      <c r="AA98" s="380"/>
      <c r="AC98" s="2"/>
      <c r="AE98" s="2"/>
    </row>
    <row r="99" spans="2:88" ht="24.95" customHeight="1">
      <c r="B99" s="3" t="s">
        <v>13</v>
      </c>
      <c r="C99" s="4"/>
      <c r="D99" s="4"/>
      <c r="E99" s="4" t="str">
        <f>E9</f>
        <v>: Fine</v>
      </c>
      <c r="F99" s="4"/>
      <c r="T99" s="276"/>
      <c r="U99" s="16"/>
      <c r="V99" s="8"/>
      <c r="W99" s="8"/>
      <c r="X99" s="8"/>
      <c r="Y99" s="8"/>
      <c r="Z99" s="279"/>
      <c r="AC99" s="2"/>
      <c r="AE99" s="2"/>
    </row>
    <row r="100" spans="2:88" ht="24.95" customHeight="1">
      <c r="B100" s="3" t="s">
        <v>4</v>
      </c>
      <c r="C100" s="4"/>
      <c r="D100" s="4"/>
      <c r="E100" s="4" t="str">
        <f>E10</f>
        <v>: Classified Intersection Count</v>
      </c>
      <c r="F100" s="4"/>
      <c r="O100" s="6"/>
      <c r="U100" s="18"/>
      <c r="V100" s="8"/>
      <c r="W100" s="8"/>
      <c r="X100" s="8"/>
      <c r="Y100" s="18"/>
      <c r="Z100" s="19"/>
      <c r="AC100" s="2"/>
      <c r="AE100" s="2"/>
    </row>
    <row r="101" spans="2:88" ht="30" customHeight="1">
      <c r="E101" s="20" t="s">
        <v>15</v>
      </c>
      <c r="F101" s="20"/>
      <c r="G101" s="21"/>
      <c r="H101" s="21"/>
      <c r="O101" s="6"/>
      <c r="U101" s="22"/>
      <c r="W101" s="277"/>
      <c r="X101" s="23"/>
      <c r="Z101" s="2"/>
      <c r="AC101" s="2"/>
      <c r="AE101" s="2"/>
    </row>
    <row r="102" spans="2:88" ht="30" customHeight="1">
      <c r="S102" s="353" t="str">
        <f>S12</f>
        <v>Great N Rd</v>
      </c>
      <c r="T102" s="353"/>
      <c r="U102" s="353"/>
      <c r="V102" s="353"/>
      <c r="X102" s="354" t="str">
        <f>X12</f>
        <v>St Georges Rd</v>
      </c>
      <c r="Y102" s="354"/>
      <c r="Z102" s="354"/>
      <c r="AA102" s="354"/>
      <c r="AB102" s="8"/>
      <c r="AC102" s="2"/>
      <c r="AD102" s="2"/>
      <c r="AE102" s="2"/>
    </row>
    <row r="103" spans="2:88" ht="24.75" customHeight="1" thickBot="1">
      <c r="AA103" s="8"/>
      <c r="AB103" s="2"/>
      <c r="AC103" s="2"/>
      <c r="AD103" s="2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</row>
    <row r="104" spans="2:88" s="50" customFormat="1" ht="33.75" customHeight="1" thickBot="1">
      <c r="B104" s="361" t="s">
        <v>5</v>
      </c>
      <c r="C104" s="362"/>
      <c r="D104" s="363"/>
      <c r="E104" s="348" t="str">
        <f>S102</f>
        <v>Great N Rd</v>
      </c>
      <c r="F104" s="349"/>
      <c r="G104" s="349"/>
      <c r="H104" s="349"/>
      <c r="I104" s="349"/>
      <c r="J104" s="349"/>
      <c r="K104" s="349"/>
      <c r="L104" s="349"/>
      <c r="M104" s="349"/>
      <c r="N104" s="349"/>
      <c r="O104" s="349"/>
      <c r="P104" s="349"/>
      <c r="Q104" s="349"/>
      <c r="R104" s="349"/>
      <c r="S104" s="349"/>
      <c r="T104" s="349"/>
      <c r="U104" s="349"/>
      <c r="V104" s="349"/>
      <c r="W104" s="349"/>
      <c r="X104" s="350"/>
      <c r="Y104" s="345" t="str">
        <f>X102</f>
        <v>St Georges Rd</v>
      </c>
      <c r="Z104" s="346"/>
      <c r="AA104" s="346"/>
      <c r="AB104" s="346"/>
      <c r="AC104" s="346"/>
      <c r="AD104" s="346"/>
      <c r="AE104" s="346"/>
      <c r="AF104" s="346"/>
      <c r="AG104" s="346"/>
      <c r="AH104" s="346"/>
      <c r="AI104" s="346"/>
      <c r="AJ104" s="346"/>
      <c r="AK104" s="346"/>
      <c r="AL104" s="346"/>
      <c r="AM104" s="346"/>
      <c r="AN104" s="346"/>
      <c r="AO104" s="346"/>
      <c r="AP104" s="346"/>
      <c r="AQ104" s="346"/>
      <c r="AR104" s="347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R104" s="52"/>
      <c r="BS104" s="53"/>
    </row>
    <row r="105" spans="2:88" s="50" customFormat="1" ht="38.25" customHeight="1" thickBot="1">
      <c r="B105" s="361" t="s">
        <v>6</v>
      </c>
      <c r="C105" s="362"/>
      <c r="D105" s="363"/>
      <c r="E105" s="335" t="s">
        <v>47</v>
      </c>
      <c r="F105" s="336"/>
      <c r="G105" s="336"/>
      <c r="H105" s="337"/>
      <c r="I105" s="335" t="s">
        <v>48</v>
      </c>
      <c r="J105" s="336"/>
      <c r="K105" s="336"/>
      <c r="L105" s="337"/>
      <c r="M105" s="335" t="s">
        <v>49</v>
      </c>
      <c r="N105" s="336"/>
      <c r="O105" s="336"/>
      <c r="P105" s="337"/>
      <c r="Q105" s="335" t="s">
        <v>50</v>
      </c>
      <c r="R105" s="336"/>
      <c r="S105" s="336"/>
      <c r="T105" s="337"/>
      <c r="U105" s="335" t="s">
        <v>79</v>
      </c>
      <c r="V105" s="336"/>
      <c r="W105" s="336"/>
      <c r="X105" s="337"/>
      <c r="Y105" s="335" t="s">
        <v>51</v>
      </c>
      <c r="Z105" s="336"/>
      <c r="AA105" s="336"/>
      <c r="AB105" s="337"/>
      <c r="AC105" s="335" t="s">
        <v>52</v>
      </c>
      <c r="AD105" s="336"/>
      <c r="AE105" s="336"/>
      <c r="AF105" s="337"/>
      <c r="AG105" s="335" t="s">
        <v>53</v>
      </c>
      <c r="AH105" s="336"/>
      <c r="AI105" s="336"/>
      <c r="AJ105" s="337"/>
      <c r="AK105" s="335" t="s">
        <v>54</v>
      </c>
      <c r="AL105" s="336"/>
      <c r="AM105" s="336"/>
      <c r="AN105" s="337"/>
      <c r="AO105" s="335" t="s">
        <v>80</v>
      </c>
      <c r="AP105" s="336"/>
      <c r="AQ105" s="336"/>
      <c r="AR105" s="337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5"/>
      <c r="CI105" s="55"/>
      <c r="CJ105" s="54"/>
    </row>
    <row r="106" spans="2:88" s="56" customFormat="1" ht="49.5" thickBot="1">
      <c r="B106" s="372" t="s">
        <v>7</v>
      </c>
      <c r="C106" s="375"/>
      <c r="D106" s="376"/>
      <c r="E106" s="26" t="str">
        <f>$E$13</f>
        <v>Lights</v>
      </c>
      <c r="F106" s="260" t="str">
        <f>$G$13</f>
        <v>Heavies</v>
      </c>
      <c r="G106" s="27" t="str">
        <f>$I$13</f>
        <v>Buses</v>
      </c>
      <c r="H106" s="28" t="s">
        <v>8</v>
      </c>
      <c r="I106" s="26" t="str">
        <f>$E$13</f>
        <v>Lights</v>
      </c>
      <c r="J106" s="260" t="str">
        <f>$G$13</f>
        <v>Heavies</v>
      </c>
      <c r="K106" s="27" t="str">
        <f>$I$13</f>
        <v>Buses</v>
      </c>
      <c r="L106" s="28" t="s">
        <v>8</v>
      </c>
      <c r="M106" s="26" t="str">
        <f>$E$13</f>
        <v>Lights</v>
      </c>
      <c r="N106" s="260" t="str">
        <f>$G$13</f>
        <v>Heavies</v>
      </c>
      <c r="O106" s="27" t="str">
        <f>$I$13</f>
        <v>Buses</v>
      </c>
      <c r="P106" s="28" t="s">
        <v>8</v>
      </c>
      <c r="Q106" s="26" t="str">
        <f>$E$13</f>
        <v>Lights</v>
      </c>
      <c r="R106" s="260" t="str">
        <f>$G$13</f>
        <v>Heavies</v>
      </c>
      <c r="S106" s="27" t="str">
        <f>$I$13</f>
        <v>Buses</v>
      </c>
      <c r="T106" s="28" t="s">
        <v>8</v>
      </c>
      <c r="U106" s="26" t="str">
        <f>$E$13</f>
        <v>Lights</v>
      </c>
      <c r="V106" s="260" t="str">
        <f>$G$13</f>
        <v>Heavies</v>
      </c>
      <c r="W106" s="27" t="str">
        <f>$I$13</f>
        <v>Buses</v>
      </c>
      <c r="X106" s="28" t="s">
        <v>8</v>
      </c>
      <c r="Y106" s="26" t="str">
        <f>$E$13</f>
        <v>Lights</v>
      </c>
      <c r="Z106" s="260" t="str">
        <f>$G$13</f>
        <v>Heavies</v>
      </c>
      <c r="AA106" s="27" t="str">
        <f>$I$13</f>
        <v>Buses</v>
      </c>
      <c r="AB106" s="28" t="s">
        <v>8</v>
      </c>
      <c r="AC106" s="26" t="str">
        <f>$E$13</f>
        <v>Lights</v>
      </c>
      <c r="AD106" s="260" t="str">
        <f>$G$13</f>
        <v>Heavies</v>
      </c>
      <c r="AE106" s="27" t="str">
        <f>$I$13</f>
        <v>Buses</v>
      </c>
      <c r="AF106" s="28" t="s">
        <v>8</v>
      </c>
      <c r="AG106" s="26" t="str">
        <f>$E$13</f>
        <v>Lights</v>
      </c>
      <c r="AH106" s="260" t="str">
        <f>$G$13</f>
        <v>Heavies</v>
      </c>
      <c r="AI106" s="27" t="str">
        <f>$I$13</f>
        <v>Buses</v>
      </c>
      <c r="AJ106" s="28" t="s">
        <v>8</v>
      </c>
      <c r="AK106" s="26" t="str">
        <f>$E$13</f>
        <v>Lights</v>
      </c>
      <c r="AL106" s="260" t="str">
        <f>$G$13</f>
        <v>Heavies</v>
      </c>
      <c r="AM106" s="27" t="str">
        <f>$I$13</f>
        <v>Buses</v>
      </c>
      <c r="AN106" s="28" t="s">
        <v>8</v>
      </c>
      <c r="AO106" s="26" t="str">
        <f>$E$13</f>
        <v>Lights</v>
      </c>
      <c r="AP106" s="260" t="str">
        <f>$G$13</f>
        <v>Heavies</v>
      </c>
      <c r="AQ106" s="27" t="str">
        <f>$I$13</f>
        <v>Buses</v>
      </c>
      <c r="AR106" s="28" t="s">
        <v>8</v>
      </c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Q106" s="57"/>
    </row>
    <row r="107" spans="2:88" s="50" customFormat="1" ht="24.95" customHeight="1">
      <c r="B107" s="30">
        <f>B18</f>
        <v>0.25</v>
      </c>
      <c r="C107" s="31" t="s">
        <v>9</v>
      </c>
      <c r="D107" s="32">
        <f>SUM(0.04166667)+B107</f>
        <v>0.29166667000000002</v>
      </c>
      <c r="E107" s="33">
        <f t="shared" ref="E107:E113" si="80">SUM(E18:E21)</f>
        <v>3</v>
      </c>
      <c r="F107" s="264">
        <f t="shared" ref="F107:G107" si="81">SUM(F18:F21)</f>
        <v>0</v>
      </c>
      <c r="G107" s="34">
        <f t="shared" si="81"/>
        <v>0</v>
      </c>
      <c r="H107" s="36">
        <f t="shared" ref="H107:H113" si="82">SUM(E107:G107)</f>
        <v>3</v>
      </c>
      <c r="I107" s="33">
        <f t="shared" ref="I107:K107" si="83">SUM(I18:I21)</f>
        <v>115</v>
      </c>
      <c r="J107" s="264">
        <f t="shared" si="83"/>
        <v>4</v>
      </c>
      <c r="K107" s="34">
        <f t="shared" si="83"/>
        <v>17</v>
      </c>
      <c r="L107" s="36">
        <f t="shared" ref="L107:L113" si="84">SUM(I107:K107)</f>
        <v>136</v>
      </c>
      <c r="M107" s="33">
        <f t="shared" ref="M107:O107" si="85">SUM(M18:M21)</f>
        <v>496</v>
      </c>
      <c r="N107" s="264">
        <f t="shared" si="85"/>
        <v>7</v>
      </c>
      <c r="O107" s="34">
        <f t="shared" si="85"/>
        <v>1</v>
      </c>
      <c r="P107" s="36">
        <f t="shared" ref="P107:P113" si="86">SUM(M107:O107)</f>
        <v>504</v>
      </c>
      <c r="Q107" s="33">
        <f t="shared" ref="Q107:S107" si="87">SUM(Q18:Q21)</f>
        <v>34</v>
      </c>
      <c r="R107" s="264">
        <f t="shared" si="87"/>
        <v>1</v>
      </c>
      <c r="S107" s="34">
        <f t="shared" si="87"/>
        <v>0</v>
      </c>
      <c r="T107" s="36">
        <f t="shared" ref="T107:T119" si="88">SUM(Q107:S107)</f>
        <v>35</v>
      </c>
      <c r="U107" s="33">
        <f t="shared" ref="U107:W107" si="89">SUM(U18:U21)</f>
        <v>1</v>
      </c>
      <c r="V107" s="264">
        <f t="shared" si="89"/>
        <v>0</v>
      </c>
      <c r="W107" s="34">
        <f t="shared" si="89"/>
        <v>0</v>
      </c>
      <c r="X107" s="36">
        <f t="shared" ref="X107:X113" si="90">SUM(U107:W107)</f>
        <v>1</v>
      </c>
      <c r="Y107" s="33">
        <f t="shared" ref="Y107:AA107" si="91">SUM(Y18:Y21)</f>
        <v>12</v>
      </c>
      <c r="Z107" s="264">
        <f t="shared" si="91"/>
        <v>0</v>
      </c>
      <c r="AA107" s="34">
        <f t="shared" si="91"/>
        <v>0</v>
      </c>
      <c r="AB107" s="36">
        <f t="shared" ref="AB107:AB113" si="92">SUM(Y107:AA107)</f>
        <v>12</v>
      </c>
      <c r="AC107" s="33">
        <f t="shared" ref="AC107:AE107" si="93">SUM(AC18:AC21)</f>
        <v>6</v>
      </c>
      <c r="AD107" s="264">
        <f t="shared" si="93"/>
        <v>1</v>
      </c>
      <c r="AE107" s="34">
        <f t="shared" si="93"/>
        <v>0</v>
      </c>
      <c r="AF107" s="36">
        <f t="shared" ref="AF107:AF113" si="94">SUM(AC107:AE107)</f>
        <v>7</v>
      </c>
      <c r="AG107" s="33">
        <f t="shared" ref="AG107:AI107" si="95">SUM(AG18:AG21)</f>
        <v>106</v>
      </c>
      <c r="AH107" s="264">
        <f t="shared" si="95"/>
        <v>1</v>
      </c>
      <c r="AI107" s="34">
        <f t="shared" si="95"/>
        <v>0</v>
      </c>
      <c r="AJ107" s="36">
        <f t="shared" ref="AJ107:AJ113" si="96">SUM(AG107:AI107)</f>
        <v>107</v>
      </c>
      <c r="AK107" s="33">
        <f t="shared" ref="AK107:AM107" si="97">SUM(AK18:AK21)</f>
        <v>35</v>
      </c>
      <c r="AL107" s="264">
        <f t="shared" si="97"/>
        <v>0</v>
      </c>
      <c r="AM107" s="34">
        <f t="shared" si="97"/>
        <v>0</v>
      </c>
      <c r="AN107" s="36">
        <f t="shared" ref="AN107:AN119" si="98">SUM(AK107:AM107)</f>
        <v>35</v>
      </c>
      <c r="AO107" s="33">
        <f t="shared" ref="AO107:AQ107" si="99">SUM(AO18:AO21)</f>
        <v>0</v>
      </c>
      <c r="AP107" s="264">
        <f t="shared" si="99"/>
        <v>0</v>
      </c>
      <c r="AQ107" s="34">
        <f t="shared" si="99"/>
        <v>0</v>
      </c>
      <c r="AR107" s="36">
        <f t="shared" ref="AR107:AR113" si="100">SUM(AO107:AQ107)</f>
        <v>0</v>
      </c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55"/>
      <c r="BQ107" s="55"/>
    </row>
    <row r="108" spans="2:88" s="50" customFormat="1" ht="24.95" customHeight="1">
      <c r="B108" s="37">
        <f>SUM(0.04166667/4+B107)</f>
        <v>0.26041666749999998</v>
      </c>
      <c r="C108" s="38" t="s">
        <v>9</v>
      </c>
      <c r="D108" s="39">
        <f>SUM(0.04166667)+B108</f>
        <v>0.30208333749999999</v>
      </c>
      <c r="E108" s="58">
        <f t="shared" si="80"/>
        <v>4</v>
      </c>
      <c r="F108" s="265">
        <f t="shared" ref="F108:G108" si="101">SUM(F19:F22)</f>
        <v>0</v>
      </c>
      <c r="G108" s="43">
        <f t="shared" si="101"/>
        <v>0</v>
      </c>
      <c r="H108" s="42">
        <f t="shared" si="82"/>
        <v>4</v>
      </c>
      <c r="I108" s="58">
        <f t="shared" ref="I108:K108" si="102">SUM(I19:I22)</f>
        <v>123</v>
      </c>
      <c r="J108" s="265">
        <f t="shared" si="102"/>
        <v>3</v>
      </c>
      <c r="K108" s="43">
        <f t="shared" si="102"/>
        <v>18</v>
      </c>
      <c r="L108" s="42">
        <f t="shared" si="84"/>
        <v>144</v>
      </c>
      <c r="M108" s="58">
        <f t="shared" ref="M108:O108" si="103">SUM(M19:M22)</f>
        <v>626</v>
      </c>
      <c r="N108" s="265">
        <f t="shared" si="103"/>
        <v>9</v>
      </c>
      <c r="O108" s="43">
        <f t="shared" si="103"/>
        <v>1</v>
      </c>
      <c r="P108" s="42">
        <f t="shared" si="86"/>
        <v>636</v>
      </c>
      <c r="Q108" s="58">
        <f t="shared" ref="Q108:S108" si="104">SUM(Q19:Q22)</f>
        <v>35</v>
      </c>
      <c r="R108" s="265">
        <f t="shared" si="104"/>
        <v>1</v>
      </c>
      <c r="S108" s="43">
        <f t="shared" si="104"/>
        <v>0</v>
      </c>
      <c r="T108" s="42">
        <f t="shared" si="88"/>
        <v>36</v>
      </c>
      <c r="U108" s="58">
        <f t="shared" ref="U108:W108" si="105">SUM(U19:U22)</f>
        <v>1</v>
      </c>
      <c r="V108" s="265">
        <f t="shared" si="105"/>
        <v>0</v>
      </c>
      <c r="W108" s="43">
        <f t="shared" si="105"/>
        <v>0</v>
      </c>
      <c r="X108" s="42">
        <f t="shared" si="90"/>
        <v>1</v>
      </c>
      <c r="Y108" s="58">
        <f t="shared" ref="Y108:AA108" si="106">SUM(Y19:Y22)</f>
        <v>15</v>
      </c>
      <c r="Z108" s="265">
        <f t="shared" si="106"/>
        <v>0</v>
      </c>
      <c r="AA108" s="43">
        <f t="shared" si="106"/>
        <v>0</v>
      </c>
      <c r="AB108" s="42">
        <f t="shared" si="92"/>
        <v>15</v>
      </c>
      <c r="AC108" s="58">
        <f t="shared" ref="AC108:AE108" si="107">SUM(AC19:AC22)</f>
        <v>6</v>
      </c>
      <c r="AD108" s="265">
        <f t="shared" si="107"/>
        <v>1</v>
      </c>
      <c r="AE108" s="43">
        <f t="shared" si="107"/>
        <v>0</v>
      </c>
      <c r="AF108" s="42">
        <f t="shared" si="94"/>
        <v>7</v>
      </c>
      <c r="AG108" s="58">
        <f t="shared" ref="AG108:AI108" si="108">SUM(AG19:AG22)</f>
        <v>118</v>
      </c>
      <c r="AH108" s="265">
        <f t="shared" si="108"/>
        <v>1</v>
      </c>
      <c r="AI108" s="43">
        <f t="shared" si="108"/>
        <v>0</v>
      </c>
      <c r="AJ108" s="42">
        <f t="shared" si="96"/>
        <v>119</v>
      </c>
      <c r="AK108" s="58">
        <f t="shared" ref="AK108:AM108" si="109">SUM(AK19:AK22)</f>
        <v>47</v>
      </c>
      <c r="AL108" s="265">
        <f t="shared" si="109"/>
        <v>0</v>
      </c>
      <c r="AM108" s="43">
        <f t="shared" si="109"/>
        <v>0</v>
      </c>
      <c r="AN108" s="42">
        <f t="shared" si="98"/>
        <v>47</v>
      </c>
      <c r="AO108" s="58">
        <f t="shared" ref="AO108:AQ108" si="110">SUM(AO19:AO22)</f>
        <v>0</v>
      </c>
      <c r="AP108" s="265">
        <f t="shared" si="110"/>
        <v>0</v>
      </c>
      <c r="AQ108" s="43">
        <f t="shared" si="110"/>
        <v>0</v>
      </c>
      <c r="AR108" s="42">
        <f t="shared" si="100"/>
        <v>0</v>
      </c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Q108" s="55"/>
      <c r="CJ108" s="52"/>
    </row>
    <row r="109" spans="2:88" s="50" customFormat="1" ht="24.95" customHeight="1">
      <c r="B109" s="37">
        <f t="shared" ref="B109:B119" si="111">SUM(0.04166667/4+B108)</f>
        <v>0.27083333499999995</v>
      </c>
      <c r="C109" s="38" t="s">
        <v>9</v>
      </c>
      <c r="D109" s="39">
        <f t="shared" ref="D109:D111" si="112">SUM(0.04166667)+B109</f>
        <v>0.31250000499999997</v>
      </c>
      <c r="E109" s="58">
        <f t="shared" si="80"/>
        <v>4</v>
      </c>
      <c r="F109" s="265">
        <f t="shared" ref="F109:G109" si="113">SUM(F20:F23)</f>
        <v>0</v>
      </c>
      <c r="G109" s="43">
        <f t="shared" si="113"/>
        <v>0</v>
      </c>
      <c r="H109" s="42">
        <f t="shared" si="82"/>
        <v>4</v>
      </c>
      <c r="I109" s="58">
        <f t="shared" ref="I109:K109" si="114">SUM(I20:I23)</f>
        <v>132</v>
      </c>
      <c r="J109" s="265">
        <f t="shared" si="114"/>
        <v>5</v>
      </c>
      <c r="K109" s="43">
        <f t="shared" si="114"/>
        <v>22</v>
      </c>
      <c r="L109" s="42">
        <f t="shared" si="84"/>
        <v>159</v>
      </c>
      <c r="M109" s="58">
        <f t="shared" ref="M109:O109" si="115">SUM(M20:M23)</f>
        <v>697</v>
      </c>
      <c r="N109" s="265">
        <f t="shared" si="115"/>
        <v>9</v>
      </c>
      <c r="O109" s="43">
        <f t="shared" si="115"/>
        <v>0</v>
      </c>
      <c r="P109" s="42">
        <f t="shared" si="86"/>
        <v>706</v>
      </c>
      <c r="Q109" s="58">
        <f t="shared" ref="Q109:S109" si="116">SUM(Q20:Q23)</f>
        <v>32</v>
      </c>
      <c r="R109" s="265">
        <f t="shared" si="116"/>
        <v>2</v>
      </c>
      <c r="S109" s="43">
        <f t="shared" si="116"/>
        <v>0</v>
      </c>
      <c r="T109" s="42">
        <f t="shared" si="88"/>
        <v>34</v>
      </c>
      <c r="U109" s="58">
        <f t="shared" ref="U109:W109" si="117">SUM(U20:U23)</f>
        <v>2</v>
      </c>
      <c r="V109" s="265">
        <f t="shared" si="117"/>
        <v>0</v>
      </c>
      <c r="W109" s="43">
        <f t="shared" si="117"/>
        <v>0</v>
      </c>
      <c r="X109" s="42">
        <f t="shared" si="90"/>
        <v>2</v>
      </c>
      <c r="Y109" s="58">
        <f t="shared" ref="Y109:AA109" si="118">SUM(Y20:Y23)</f>
        <v>22</v>
      </c>
      <c r="Z109" s="265">
        <f t="shared" si="118"/>
        <v>0</v>
      </c>
      <c r="AA109" s="43">
        <f t="shared" si="118"/>
        <v>0</v>
      </c>
      <c r="AB109" s="42">
        <f t="shared" si="92"/>
        <v>22</v>
      </c>
      <c r="AC109" s="58">
        <f t="shared" ref="AC109:AE109" si="119">SUM(AC20:AC23)</f>
        <v>6</v>
      </c>
      <c r="AD109" s="265">
        <f t="shared" si="119"/>
        <v>0</v>
      </c>
      <c r="AE109" s="43">
        <f t="shared" si="119"/>
        <v>0</v>
      </c>
      <c r="AF109" s="42">
        <f t="shared" si="94"/>
        <v>6</v>
      </c>
      <c r="AG109" s="58">
        <f t="shared" ref="AG109:AI109" si="120">SUM(AG20:AG23)</f>
        <v>141</v>
      </c>
      <c r="AH109" s="265">
        <f t="shared" si="120"/>
        <v>4</v>
      </c>
      <c r="AI109" s="43">
        <f t="shared" si="120"/>
        <v>0</v>
      </c>
      <c r="AJ109" s="42">
        <f t="shared" si="96"/>
        <v>145</v>
      </c>
      <c r="AK109" s="58">
        <f t="shared" ref="AK109:AM109" si="121">SUM(AK20:AK23)</f>
        <v>61</v>
      </c>
      <c r="AL109" s="265">
        <f t="shared" si="121"/>
        <v>0</v>
      </c>
      <c r="AM109" s="43">
        <f t="shared" si="121"/>
        <v>0</v>
      </c>
      <c r="AN109" s="42">
        <f t="shared" si="98"/>
        <v>61</v>
      </c>
      <c r="AO109" s="58">
        <f t="shared" ref="AO109:AQ109" si="122">SUM(AO20:AO23)</f>
        <v>0</v>
      </c>
      <c r="AP109" s="265">
        <f t="shared" si="122"/>
        <v>0</v>
      </c>
      <c r="AQ109" s="43">
        <f t="shared" si="122"/>
        <v>0</v>
      </c>
      <c r="AR109" s="42">
        <f t="shared" si="100"/>
        <v>0</v>
      </c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Q109" s="55"/>
      <c r="CJ109" s="52"/>
    </row>
    <row r="110" spans="2:88" s="50" customFormat="1" ht="24.95" customHeight="1">
      <c r="B110" s="30">
        <f t="shared" si="111"/>
        <v>0.28125000249999993</v>
      </c>
      <c r="C110" s="31" t="s">
        <v>9</v>
      </c>
      <c r="D110" s="32">
        <f t="shared" si="112"/>
        <v>0.32291667249999995</v>
      </c>
      <c r="E110" s="58">
        <f t="shared" si="80"/>
        <v>2</v>
      </c>
      <c r="F110" s="265">
        <f t="shared" ref="F110:G110" si="123">SUM(F21:F24)</f>
        <v>0</v>
      </c>
      <c r="G110" s="43">
        <f t="shared" si="123"/>
        <v>0</v>
      </c>
      <c r="H110" s="42">
        <f t="shared" si="82"/>
        <v>2</v>
      </c>
      <c r="I110" s="58">
        <f t="shared" ref="I110:K110" si="124">SUM(I21:I24)</f>
        <v>142</v>
      </c>
      <c r="J110" s="265">
        <f t="shared" si="124"/>
        <v>6</v>
      </c>
      <c r="K110" s="43">
        <f t="shared" si="124"/>
        <v>23</v>
      </c>
      <c r="L110" s="42">
        <f t="shared" si="84"/>
        <v>171</v>
      </c>
      <c r="M110" s="58">
        <f t="shared" ref="M110:O110" si="125">SUM(M21:M24)</f>
        <v>708</v>
      </c>
      <c r="N110" s="265">
        <f t="shared" si="125"/>
        <v>8</v>
      </c>
      <c r="O110" s="43">
        <f t="shared" si="125"/>
        <v>0</v>
      </c>
      <c r="P110" s="42">
        <f t="shared" si="86"/>
        <v>716</v>
      </c>
      <c r="Q110" s="58">
        <f t="shared" ref="Q110:S110" si="126">SUM(Q21:Q24)</f>
        <v>40</v>
      </c>
      <c r="R110" s="265">
        <f t="shared" si="126"/>
        <v>1</v>
      </c>
      <c r="S110" s="43">
        <f t="shared" si="126"/>
        <v>0</v>
      </c>
      <c r="T110" s="42">
        <f t="shared" si="88"/>
        <v>41</v>
      </c>
      <c r="U110" s="58">
        <f t="shared" ref="U110:W110" si="127">SUM(U21:U24)</f>
        <v>2</v>
      </c>
      <c r="V110" s="265">
        <f t="shared" si="127"/>
        <v>0</v>
      </c>
      <c r="W110" s="43">
        <f t="shared" si="127"/>
        <v>0</v>
      </c>
      <c r="X110" s="42">
        <f t="shared" si="90"/>
        <v>2</v>
      </c>
      <c r="Y110" s="58">
        <f t="shared" ref="Y110:AA110" si="128">SUM(Y21:Y24)</f>
        <v>26</v>
      </c>
      <c r="Z110" s="265">
        <f t="shared" si="128"/>
        <v>0</v>
      </c>
      <c r="AA110" s="43">
        <f t="shared" si="128"/>
        <v>0</v>
      </c>
      <c r="AB110" s="42">
        <f t="shared" si="92"/>
        <v>26</v>
      </c>
      <c r="AC110" s="58">
        <f t="shared" ref="AC110:AE110" si="129">SUM(AC21:AC24)</f>
        <v>6</v>
      </c>
      <c r="AD110" s="265">
        <f t="shared" si="129"/>
        <v>0</v>
      </c>
      <c r="AE110" s="43">
        <f t="shared" si="129"/>
        <v>0</v>
      </c>
      <c r="AF110" s="42">
        <f t="shared" si="94"/>
        <v>6</v>
      </c>
      <c r="AG110" s="58">
        <f t="shared" ref="AG110:AI110" si="130">SUM(AG21:AG24)</f>
        <v>167</v>
      </c>
      <c r="AH110" s="265">
        <f t="shared" si="130"/>
        <v>5</v>
      </c>
      <c r="AI110" s="43">
        <f t="shared" si="130"/>
        <v>0</v>
      </c>
      <c r="AJ110" s="42">
        <f t="shared" si="96"/>
        <v>172</v>
      </c>
      <c r="AK110" s="58">
        <f t="shared" ref="AK110:AM110" si="131">SUM(AK21:AK24)</f>
        <v>83</v>
      </c>
      <c r="AL110" s="265">
        <f t="shared" si="131"/>
        <v>0</v>
      </c>
      <c r="AM110" s="43">
        <f t="shared" si="131"/>
        <v>0</v>
      </c>
      <c r="AN110" s="42">
        <f t="shared" si="98"/>
        <v>83</v>
      </c>
      <c r="AO110" s="58">
        <f t="shared" ref="AO110:AQ110" si="132">SUM(AO21:AO24)</f>
        <v>0</v>
      </c>
      <c r="AP110" s="265">
        <f t="shared" si="132"/>
        <v>0</v>
      </c>
      <c r="AQ110" s="43">
        <f t="shared" si="132"/>
        <v>0</v>
      </c>
      <c r="AR110" s="42">
        <f t="shared" si="100"/>
        <v>0</v>
      </c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S110" s="59"/>
      <c r="BZ110" s="59"/>
      <c r="CA110" s="59"/>
      <c r="CB110" s="59"/>
      <c r="CC110" s="59"/>
      <c r="CD110" s="59"/>
    </row>
    <row r="111" spans="2:88" s="50" customFormat="1" ht="24.95" customHeight="1">
      <c r="B111" s="37">
        <f t="shared" si="111"/>
        <v>0.29166666999999991</v>
      </c>
      <c r="C111" s="38" t="s">
        <v>9</v>
      </c>
      <c r="D111" s="47">
        <f t="shared" si="112"/>
        <v>0.33333333999999992</v>
      </c>
      <c r="E111" s="58">
        <f t="shared" si="80"/>
        <v>2</v>
      </c>
      <c r="F111" s="265">
        <f t="shared" ref="F111:G111" si="133">SUM(F22:F25)</f>
        <v>0</v>
      </c>
      <c r="G111" s="43">
        <f t="shared" si="133"/>
        <v>0</v>
      </c>
      <c r="H111" s="42">
        <f t="shared" si="82"/>
        <v>2</v>
      </c>
      <c r="I111" s="58">
        <f t="shared" ref="I111:K111" si="134">SUM(I22:I25)</f>
        <v>148</v>
      </c>
      <c r="J111" s="265">
        <f t="shared" si="134"/>
        <v>6</v>
      </c>
      <c r="K111" s="43">
        <f t="shared" si="134"/>
        <v>24</v>
      </c>
      <c r="L111" s="42">
        <f t="shared" si="84"/>
        <v>178</v>
      </c>
      <c r="M111" s="58">
        <f t="shared" ref="M111:O111" si="135">SUM(M22:M25)</f>
        <v>657</v>
      </c>
      <c r="N111" s="265">
        <f t="shared" si="135"/>
        <v>4</v>
      </c>
      <c r="O111" s="43">
        <f t="shared" si="135"/>
        <v>0</v>
      </c>
      <c r="P111" s="42">
        <f t="shared" si="86"/>
        <v>661</v>
      </c>
      <c r="Q111" s="58">
        <f t="shared" ref="Q111:S111" si="136">SUM(Q22:Q25)</f>
        <v>45</v>
      </c>
      <c r="R111" s="265">
        <f t="shared" si="136"/>
        <v>1</v>
      </c>
      <c r="S111" s="43">
        <f t="shared" si="136"/>
        <v>0</v>
      </c>
      <c r="T111" s="42">
        <f t="shared" si="88"/>
        <v>46</v>
      </c>
      <c r="U111" s="58">
        <f t="shared" ref="U111:W111" si="137">SUM(U22:U25)</f>
        <v>2</v>
      </c>
      <c r="V111" s="265">
        <f t="shared" si="137"/>
        <v>0</v>
      </c>
      <c r="W111" s="43">
        <f t="shared" si="137"/>
        <v>0</v>
      </c>
      <c r="X111" s="42">
        <f t="shared" si="90"/>
        <v>2</v>
      </c>
      <c r="Y111" s="58">
        <f t="shared" ref="Y111:AA111" si="138">SUM(Y22:Y25)</f>
        <v>30</v>
      </c>
      <c r="Z111" s="265">
        <f t="shared" si="138"/>
        <v>0</v>
      </c>
      <c r="AA111" s="43">
        <f t="shared" si="138"/>
        <v>0</v>
      </c>
      <c r="AB111" s="42">
        <f t="shared" si="92"/>
        <v>30</v>
      </c>
      <c r="AC111" s="58">
        <f t="shared" ref="AC111:AE111" si="139">SUM(AC22:AC25)</f>
        <v>4</v>
      </c>
      <c r="AD111" s="265">
        <f t="shared" si="139"/>
        <v>0</v>
      </c>
      <c r="AE111" s="43">
        <f t="shared" si="139"/>
        <v>0</v>
      </c>
      <c r="AF111" s="42">
        <f t="shared" si="94"/>
        <v>4</v>
      </c>
      <c r="AG111" s="58">
        <f t="shared" ref="AG111:AI111" si="140">SUM(AG22:AG25)</f>
        <v>194</v>
      </c>
      <c r="AH111" s="265">
        <f t="shared" si="140"/>
        <v>4</v>
      </c>
      <c r="AI111" s="43">
        <f t="shared" si="140"/>
        <v>0</v>
      </c>
      <c r="AJ111" s="42">
        <f t="shared" si="96"/>
        <v>198</v>
      </c>
      <c r="AK111" s="58">
        <f t="shared" ref="AK111:AM111" si="141">SUM(AK22:AK25)</f>
        <v>104</v>
      </c>
      <c r="AL111" s="265">
        <f t="shared" si="141"/>
        <v>0</v>
      </c>
      <c r="AM111" s="43">
        <f t="shared" si="141"/>
        <v>0</v>
      </c>
      <c r="AN111" s="42">
        <f t="shared" si="98"/>
        <v>104</v>
      </c>
      <c r="AO111" s="58">
        <f t="shared" ref="AO111:AQ111" si="142">SUM(AO22:AO25)</f>
        <v>1</v>
      </c>
      <c r="AP111" s="265">
        <f t="shared" si="142"/>
        <v>0</v>
      </c>
      <c r="AQ111" s="43">
        <f t="shared" si="142"/>
        <v>0</v>
      </c>
      <c r="AR111" s="42">
        <f t="shared" si="100"/>
        <v>1</v>
      </c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</row>
    <row r="112" spans="2:88" s="50" customFormat="1" ht="24.95" customHeight="1">
      <c r="B112" s="37">
        <f t="shared" si="111"/>
        <v>0.30208333749999988</v>
      </c>
      <c r="C112" s="38" t="s">
        <v>9</v>
      </c>
      <c r="D112" s="47">
        <f t="shared" ref="D112:D113" si="143">SUM(0.04166667)+B112</f>
        <v>0.3437500074999999</v>
      </c>
      <c r="E112" s="58">
        <f t="shared" si="80"/>
        <v>1</v>
      </c>
      <c r="F112" s="265">
        <f t="shared" ref="F112:G112" si="144">SUM(F23:F26)</f>
        <v>0</v>
      </c>
      <c r="G112" s="43">
        <f t="shared" si="144"/>
        <v>0</v>
      </c>
      <c r="H112" s="42">
        <f t="shared" si="82"/>
        <v>1</v>
      </c>
      <c r="I112" s="58">
        <f t="shared" ref="I112:K112" si="145">SUM(I23:I26)</f>
        <v>137</v>
      </c>
      <c r="J112" s="265">
        <f t="shared" si="145"/>
        <v>6</v>
      </c>
      <c r="K112" s="43">
        <f t="shared" si="145"/>
        <v>25</v>
      </c>
      <c r="L112" s="42">
        <f t="shared" si="84"/>
        <v>168</v>
      </c>
      <c r="M112" s="58">
        <f t="shared" ref="M112:O112" si="146">SUM(M23:M26)</f>
        <v>594</v>
      </c>
      <c r="N112" s="265">
        <f t="shared" si="146"/>
        <v>4</v>
      </c>
      <c r="O112" s="43">
        <f t="shared" si="146"/>
        <v>0</v>
      </c>
      <c r="P112" s="42">
        <f t="shared" si="86"/>
        <v>598</v>
      </c>
      <c r="Q112" s="58">
        <f t="shared" ref="Q112:S112" si="147">SUM(Q23:Q26)</f>
        <v>46</v>
      </c>
      <c r="R112" s="265">
        <f t="shared" si="147"/>
        <v>2</v>
      </c>
      <c r="S112" s="43">
        <f t="shared" si="147"/>
        <v>0</v>
      </c>
      <c r="T112" s="42">
        <f t="shared" si="88"/>
        <v>48</v>
      </c>
      <c r="U112" s="58">
        <f t="shared" ref="U112:W112" si="148">SUM(U23:U26)</f>
        <v>3</v>
      </c>
      <c r="V112" s="265">
        <f t="shared" si="148"/>
        <v>0</v>
      </c>
      <c r="W112" s="43">
        <f t="shared" si="148"/>
        <v>0</v>
      </c>
      <c r="X112" s="42">
        <f t="shared" si="90"/>
        <v>3</v>
      </c>
      <c r="Y112" s="58">
        <f t="shared" ref="Y112:AA112" si="149">SUM(Y23:Y26)</f>
        <v>38</v>
      </c>
      <c r="Z112" s="265">
        <f t="shared" si="149"/>
        <v>0</v>
      </c>
      <c r="AA112" s="43">
        <f t="shared" si="149"/>
        <v>0</v>
      </c>
      <c r="AB112" s="42">
        <f t="shared" si="92"/>
        <v>38</v>
      </c>
      <c r="AC112" s="58">
        <f t="shared" ref="AC112:AE112" si="150">SUM(AC23:AC26)</f>
        <v>7</v>
      </c>
      <c r="AD112" s="265">
        <f t="shared" si="150"/>
        <v>0</v>
      </c>
      <c r="AE112" s="43">
        <f t="shared" si="150"/>
        <v>0</v>
      </c>
      <c r="AF112" s="42">
        <f t="shared" si="94"/>
        <v>7</v>
      </c>
      <c r="AG112" s="58">
        <f t="shared" ref="AG112:AI112" si="151">SUM(AG23:AG26)</f>
        <v>240</v>
      </c>
      <c r="AH112" s="265">
        <f t="shared" si="151"/>
        <v>6</v>
      </c>
      <c r="AI112" s="43">
        <f t="shared" si="151"/>
        <v>0</v>
      </c>
      <c r="AJ112" s="42">
        <f t="shared" si="96"/>
        <v>246</v>
      </c>
      <c r="AK112" s="58">
        <f t="shared" ref="AK112:AM112" si="152">SUM(AK23:AK26)</f>
        <v>128</v>
      </c>
      <c r="AL112" s="265">
        <f t="shared" si="152"/>
        <v>1</v>
      </c>
      <c r="AM112" s="43">
        <f t="shared" si="152"/>
        <v>0</v>
      </c>
      <c r="AN112" s="42">
        <f t="shared" si="98"/>
        <v>129</v>
      </c>
      <c r="AO112" s="58">
        <f t="shared" ref="AO112:AQ112" si="153">SUM(AO23:AO26)</f>
        <v>1</v>
      </c>
      <c r="AP112" s="265">
        <f t="shared" si="153"/>
        <v>0</v>
      </c>
      <c r="AQ112" s="43">
        <f t="shared" si="153"/>
        <v>0</v>
      </c>
      <c r="AR112" s="42">
        <f t="shared" si="100"/>
        <v>1</v>
      </c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</row>
    <row r="113" spans="2:108" s="50" customFormat="1" ht="24.95" customHeight="1">
      <c r="B113" s="37">
        <f t="shared" si="111"/>
        <v>0.31250000499999986</v>
      </c>
      <c r="C113" s="38" t="s">
        <v>9</v>
      </c>
      <c r="D113" s="47">
        <f t="shared" si="143"/>
        <v>0.35416667499999988</v>
      </c>
      <c r="E113" s="58">
        <f t="shared" si="80"/>
        <v>1</v>
      </c>
      <c r="F113" s="265">
        <f t="shared" ref="F113:G113" si="154">SUM(F24:F27)</f>
        <v>0</v>
      </c>
      <c r="G113" s="43">
        <f t="shared" si="154"/>
        <v>0</v>
      </c>
      <c r="H113" s="42">
        <f t="shared" si="82"/>
        <v>1</v>
      </c>
      <c r="I113" s="58">
        <f t="shared" ref="I113:K113" si="155">SUM(I24:I27)</f>
        <v>136</v>
      </c>
      <c r="J113" s="265">
        <f t="shared" si="155"/>
        <v>3</v>
      </c>
      <c r="K113" s="43">
        <f t="shared" si="155"/>
        <v>24</v>
      </c>
      <c r="L113" s="42">
        <f t="shared" si="84"/>
        <v>163</v>
      </c>
      <c r="M113" s="58">
        <f t="shared" ref="M113:O113" si="156">SUM(M24:M27)</f>
        <v>536</v>
      </c>
      <c r="N113" s="265">
        <f t="shared" si="156"/>
        <v>3</v>
      </c>
      <c r="O113" s="43">
        <f t="shared" si="156"/>
        <v>0</v>
      </c>
      <c r="P113" s="42">
        <f t="shared" si="86"/>
        <v>539</v>
      </c>
      <c r="Q113" s="58">
        <f t="shared" ref="Q113:S113" si="157">SUM(Q24:Q27)</f>
        <v>47</v>
      </c>
      <c r="R113" s="265">
        <f t="shared" si="157"/>
        <v>2</v>
      </c>
      <c r="S113" s="43">
        <f t="shared" si="157"/>
        <v>0</v>
      </c>
      <c r="T113" s="42">
        <f t="shared" si="88"/>
        <v>49</v>
      </c>
      <c r="U113" s="58">
        <f t="shared" ref="U113:W113" si="158">SUM(U24:U27)</f>
        <v>2</v>
      </c>
      <c r="V113" s="265">
        <f t="shared" si="158"/>
        <v>0</v>
      </c>
      <c r="W113" s="43">
        <f t="shared" si="158"/>
        <v>0</v>
      </c>
      <c r="X113" s="42">
        <f t="shared" si="90"/>
        <v>2</v>
      </c>
      <c r="Y113" s="58">
        <f t="shared" ref="Y113:AA113" si="159">SUM(Y24:Y27)</f>
        <v>39</v>
      </c>
      <c r="Z113" s="265">
        <f t="shared" si="159"/>
        <v>0</v>
      </c>
      <c r="AA113" s="43">
        <f t="shared" si="159"/>
        <v>0</v>
      </c>
      <c r="AB113" s="42">
        <f t="shared" si="92"/>
        <v>39</v>
      </c>
      <c r="AC113" s="58">
        <f t="shared" ref="AC113:AE113" si="160">SUM(AC24:AC27)</f>
        <v>8</v>
      </c>
      <c r="AD113" s="265">
        <f t="shared" si="160"/>
        <v>0</v>
      </c>
      <c r="AE113" s="43">
        <f t="shared" si="160"/>
        <v>0</v>
      </c>
      <c r="AF113" s="42">
        <f t="shared" si="94"/>
        <v>8</v>
      </c>
      <c r="AG113" s="58">
        <f t="shared" ref="AG113:AI113" si="161">SUM(AG24:AG27)</f>
        <v>288</v>
      </c>
      <c r="AH113" s="265">
        <f t="shared" si="161"/>
        <v>5</v>
      </c>
      <c r="AI113" s="43">
        <f t="shared" si="161"/>
        <v>0</v>
      </c>
      <c r="AJ113" s="42">
        <f t="shared" si="96"/>
        <v>293</v>
      </c>
      <c r="AK113" s="58">
        <f t="shared" ref="AK113:AM113" si="162">SUM(AK24:AK27)</f>
        <v>143</v>
      </c>
      <c r="AL113" s="265">
        <f t="shared" si="162"/>
        <v>1</v>
      </c>
      <c r="AM113" s="43">
        <f t="shared" si="162"/>
        <v>0</v>
      </c>
      <c r="AN113" s="42">
        <f t="shared" si="98"/>
        <v>144</v>
      </c>
      <c r="AO113" s="58">
        <f t="shared" ref="AO113:AQ113" si="163">SUM(AO24:AO27)</f>
        <v>1</v>
      </c>
      <c r="AP113" s="265">
        <f t="shared" si="163"/>
        <v>0</v>
      </c>
      <c r="AQ113" s="43">
        <f t="shared" si="163"/>
        <v>0</v>
      </c>
      <c r="AR113" s="42">
        <f t="shared" si="100"/>
        <v>1</v>
      </c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</row>
    <row r="114" spans="2:108" s="50" customFormat="1" ht="24.95" customHeight="1">
      <c r="B114" s="37">
        <f t="shared" si="111"/>
        <v>0.32291667249999984</v>
      </c>
      <c r="C114" s="38" t="s">
        <v>9</v>
      </c>
      <c r="D114" s="47">
        <f t="shared" ref="D114:D119" si="164">SUM(0.04166667)+B114</f>
        <v>0.36458334249999985</v>
      </c>
      <c r="E114" s="58">
        <f t="shared" ref="E114" si="165">SUM(E25:E28)</f>
        <v>3</v>
      </c>
      <c r="F114" s="265">
        <f t="shared" ref="F114:G114" si="166">SUM(F25:F28)</f>
        <v>0</v>
      </c>
      <c r="G114" s="43">
        <f t="shared" si="166"/>
        <v>0</v>
      </c>
      <c r="H114" s="42">
        <f t="shared" ref="H114:H119" si="167">SUM(E114:G114)</f>
        <v>3</v>
      </c>
      <c r="I114" s="58">
        <f t="shared" ref="I114:K114" si="168">SUM(I25:I28)</f>
        <v>142</v>
      </c>
      <c r="J114" s="265">
        <f t="shared" si="168"/>
        <v>3</v>
      </c>
      <c r="K114" s="43">
        <f t="shared" si="168"/>
        <v>22</v>
      </c>
      <c r="L114" s="42">
        <f t="shared" ref="L114:L119" si="169">SUM(I114:K114)</f>
        <v>167</v>
      </c>
      <c r="M114" s="58">
        <f t="shared" ref="M114:O114" si="170">SUM(M25:M28)</f>
        <v>485</v>
      </c>
      <c r="N114" s="265">
        <f t="shared" si="170"/>
        <v>3</v>
      </c>
      <c r="O114" s="43">
        <f t="shared" si="170"/>
        <v>0</v>
      </c>
      <c r="P114" s="42">
        <f t="shared" ref="P114:P119" si="171">SUM(M114:O114)</f>
        <v>488</v>
      </c>
      <c r="Q114" s="58">
        <f t="shared" ref="Q114:S114" si="172">SUM(Q25:Q28)</f>
        <v>48</v>
      </c>
      <c r="R114" s="265">
        <f t="shared" si="172"/>
        <v>2</v>
      </c>
      <c r="S114" s="43">
        <f t="shared" si="172"/>
        <v>0</v>
      </c>
      <c r="T114" s="42">
        <f t="shared" si="88"/>
        <v>50</v>
      </c>
      <c r="U114" s="58">
        <f t="shared" ref="U114:W114" si="173">SUM(U25:U28)</f>
        <v>1</v>
      </c>
      <c r="V114" s="265">
        <f t="shared" si="173"/>
        <v>0</v>
      </c>
      <c r="W114" s="43">
        <f t="shared" si="173"/>
        <v>0</v>
      </c>
      <c r="X114" s="42">
        <f t="shared" ref="X114:X119" si="174">SUM(U114:W114)</f>
        <v>1</v>
      </c>
      <c r="Y114" s="58">
        <f t="shared" ref="Y114:AA114" si="175">SUM(Y25:Y28)</f>
        <v>48</v>
      </c>
      <c r="Z114" s="265">
        <f t="shared" si="175"/>
        <v>0</v>
      </c>
      <c r="AA114" s="43">
        <f t="shared" si="175"/>
        <v>0</v>
      </c>
      <c r="AB114" s="42">
        <f t="shared" ref="AB114:AB119" si="176">SUM(Y114:AA114)</f>
        <v>48</v>
      </c>
      <c r="AC114" s="58">
        <f t="shared" ref="AC114:AE114" si="177">SUM(AC25:AC28)</f>
        <v>11</v>
      </c>
      <c r="AD114" s="265">
        <f t="shared" si="177"/>
        <v>0</v>
      </c>
      <c r="AE114" s="43">
        <f t="shared" si="177"/>
        <v>0</v>
      </c>
      <c r="AF114" s="42">
        <f t="shared" ref="AF114:AF119" si="178">SUM(AC114:AE114)</f>
        <v>11</v>
      </c>
      <c r="AG114" s="58">
        <f t="shared" ref="AG114:AI114" si="179">SUM(AG25:AG28)</f>
        <v>309</v>
      </c>
      <c r="AH114" s="265">
        <f t="shared" si="179"/>
        <v>5</v>
      </c>
      <c r="AI114" s="43">
        <f t="shared" si="179"/>
        <v>0</v>
      </c>
      <c r="AJ114" s="42">
        <f t="shared" ref="AJ114:AJ119" si="180">SUM(AG114:AI114)</f>
        <v>314</v>
      </c>
      <c r="AK114" s="58">
        <f t="shared" ref="AK114:AM114" si="181">SUM(AK25:AK28)</f>
        <v>146</v>
      </c>
      <c r="AL114" s="265">
        <f t="shared" si="181"/>
        <v>1</v>
      </c>
      <c r="AM114" s="43">
        <f t="shared" si="181"/>
        <v>0</v>
      </c>
      <c r="AN114" s="42">
        <f t="shared" si="98"/>
        <v>147</v>
      </c>
      <c r="AO114" s="58">
        <f t="shared" ref="AO114:AQ114" si="182">SUM(AO25:AO28)</f>
        <v>2</v>
      </c>
      <c r="AP114" s="265">
        <f t="shared" si="182"/>
        <v>0</v>
      </c>
      <c r="AQ114" s="43">
        <f t="shared" si="182"/>
        <v>0</v>
      </c>
      <c r="AR114" s="42">
        <f t="shared" ref="AR114:AR119" si="183">SUM(AO114:AQ114)</f>
        <v>2</v>
      </c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</row>
    <row r="115" spans="2:108" s="50" customFormat="1" ht="24.95" customHeight="1">
      <c r="B115" s="37">
        <f t="shared" si="111"/>
        <v>0.33333333999999981</v>
      </c>
      <c r="C115" s="38" t="s">
        <v>9</v>
      </c>
      <c r="D115" s="47">
        <f t="shared" si="164"/>
        <v>0.37500000999999983</v>
      </c>
      <c r="E115" s="58">
        <f t="shared" ref="E115" si="184">SUM(E26:E29)</f>
        <v>3</v>
      </c>
      <c r="F115" s="265">
        <f t="shared" ref="F115:G115" si="185">SUM(F26:F29)</f>
        <v>0</v>
      </c>
      <c r="G115" s="43">
        <f t="shared" si="185"/>
        <v>0</v>
      </c>
      <c r="H115" s="42">
        <f t="shared" si="167"/>
        <v>3</v>
      </c>
      <c r="I115" s="58">
        <f t="shared" ref="I115:K115" si="186">SUM(I26:I29)</f>
        <v>152</v>
      </c>
      <c r="J115" s="265">
        <f t="shared" si="186"/>
        <v>7</v>
      </c>
      <c r="K115" s="43">
        <f t="shared" si="186"/>
        <v>20</v>
      </c>
      <c r="L115" s="42">
        <f t="shared" si="169"/>
        <v>179</v>
      </c>
      <c r="M115" s="58">
        <f t="shared" ref="M115:O115" si="187">SUM(M26:M29)</f>
        <v>440</v>
      </c>
      <c r="N115" s="265">
        <f t="shared" si="187"/>
        <v>5</v>
      </c>
      <c r="O115" s="43">
        <f t="shared" si="187"/>
        <v>0</v>
      </c>
      <c r="P115" s="42">
        <f t="shared" si="171"/>
        <v>445</v>
      </c>
      <c r="Q115" s="58">
        <f t="shared" ref="Q115:S115" si="188">SUM(Q26:Q29)</f>
        <v>63</v>
      </c>
      <c r="R115" s="265">
        <f t="shared" si="188"/>
        <v>3</v>
      </c>
      <c r="S115" s="43">
        <f t="shared" si="188"/>
        <v>0</v>
      </c>
      <c r="T115" s="42">
        <f t="shared" si="88"/>
        <v>66</v>
      </c>
      <c r="U115" s="58">
        <f t="shared" ref="U115:W115" si="189">SUM(U26:U29)</f>
        <v>2</v>
      </c>
      <c r="V115" s="265">
        <f t="shared" si="189"/>
        <v>0</v>
      </c>
      <c r="W115" s="43">
        <f t="shared" si="189"/>
        <v>0</v>
      </c>
      <c r="X115" s="42">
        <f t="shared" si="174"/>
        <v>2</v>
      </c>
      <c r="Y115" s="58">
        <f t="shared" ref="Y115:AA115" si="190">SUM(Y26:Y29)</f>
        <v>62</v>
      </c>
      <c r="Z115" s="265">
        <f t="shared" si="190"/>
        <v>0</v>
      </c>
      <c r="AA115" s="43">
        <f t="shared" si="190"/>
        <v>0</v>
      </c>
      <c r="AB115" s="42">
        <f t="shared" si="176"/>
        <v>62</v>
      </c>
      <c r="AC115" s="58">
        <f t="shared" ref="AC115:AE115" si="191">SUM(AC26:AC29)</f>
        <v>20</v>
      </c>
      <c r="AD115" s="265">
        <f t="shared" si="191"/>
        <v>1</v>
      </c>
      <c r="AE115" s="43">
        <f t="shared" si="191"/>
        <v>0</v>
      </c>
      <c r="AF115" s="42">
        <f t="shared" si="178"/>
        <v>21</v>
      </c>
      <c r="AG115" s="58">
        <f t="shared" ref="AG115:AI115" si="192">SUM(AG26:AG29)</f>
        <v>320</v>
      </c>
      <c r="AH115" s="265">
        <f t="shared" si="192"/>
        <v>5</v>
      </c>
      <c r="AI115" s="43">
        <f t="shared" si="192"/>
        <v>0</v>
      </c>
      <c r="AJ115" s="42">
        <f t="shared" si="180"/>
        <v>325</v>
      </c>
      <c r="AK115" s="58">
        <f t="shared" ref="AK115:AM115" si="193">SUM(AK26:AK29)</f>
        <v>139</v>
      </c>
      <c r="AL115" s="265">
        <f t="shared" si="193"/>
        <v>1</v>
      </c>
      <c r="AM115" s="43">
        <f t="shared" si="193"/>
        <v>0</v>
      </c>
      <c r="AN115" s="42">
        <f t="shared" si="98"/>
        <v>140</v>
      </c>
      <c r="AO115" s="58">
        <f t="shared" ref="AO115:AQ115" si="194">SUM(AO26:AO29)</f>
        <v>1</v>
      </c>
      <c r="AP115" s="265">
        <f t="shared" si="194"/>
        <v>0</v>
      </c>
      <c r="AQ115" s="43">
        <f t="shared" si="194"/>
        <v>0</v>
      </c>
      <c r="AR115" s="42">
        <f t="shared" si="183"/>
        <v>1</v>
      </c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</row>
    <row r="116" spans="2:108" s="50" customFormat="1" ht="24.95" customHeight="1">
      <c r="B116" s="37">
        <f t="shared" si="111"/>
        <v>0.34375000749999979</v>
      </c>
      <c r="C116" s="38" t="s">
        <v>9</v>
      </c>
      <c r="D116" s="47">
        <f t="shared" si="164"/>
        <v>0.3854166774999998</v>
      </c>
      <c r="E116" s="58">
        <f t="shared" ref="E116" si="195">SUM(E27:E30)</f>
        <v>3</v>
      </c>
      <c r="F116" s="265">
        <f t="shared" ref="F116:G116" si="196">SUM(F27:F30)</f>
        <v>0</v>
      </c>
      <c r="G116" s="43">
        <f t="shared" si="196"/>
        <v>0</v>
      </c>
      <c r="H116" s="42">
        <f t="shared" si="167"/>
        <v>3</v>
      </c>
      <c r="I116" s="58">
        <f t="shared" ref="I116:K116" si="197">SUM(I27:I30)</f>
        <v>186</v>
      </c>
      <c r="J116" s="265">
        <f t="shared" si="197"/>
        <v>8</v>
      </c>
      <c r="K116" s="43">
        <f t="shared" si="197"/>
        <v>21</v>
      </c>
      <c r="L116" s="42">
        <f t="shared" si="169"/>
        <v>215</v>
      </c>
      <c r="M116" s="58">
        <f t="shared" ref="M116:O116" si="198">SUM(M27:M30)</f>
        <v>408</v>
      </c>
      <c r="N116" s="265">
        <f t="shared" si="198"/>
        <v>5</v>
      </c>
      <c r="O116" s="43">
        <f t="shared" si="198"/>
        <v>0</v>
      </c>
      <c r="P116" s="42">
        <f t="shared" si="171"/>
        <v>413</v>
      </c>
      <c r="Q116" s="58">
        <f t="shared" ref="Q116:S116" si="199">SUM(Q27:Q30)</f>
        <v>68</v>
      </c>
      <c r="R116" s="265">
        <f t="shared" si="199"/>
        <v>2</v>
      </c>
      <c r="S116" s="43">
        <f t="shared" si="199"/>
        <v>0</v>
      </c>
      <c r="T116" s="42">
        <f t="shared" si="88"/>
        <v>70</v>
      </c>
      <c r="U116" s="58">
        <f t="shared" ref="U116:W116" si="200">SUM(U27:U30)</f>
        <v>2</v>
      </c>
      <c r="V116" s="265">
        <f t="shared" si="200"/>
        <v>0</v>
      </c>
      <c r="W116" s="43">
        <f t="shared" si="200"/>
        <v>0</v>
      </c>
      <c r="X116" s="42">
        <f t="shared" si="174"/>
        <v>2</v>
      </c>
      <c r="Y116" s="58">
        <f t="shared" ref="Y116:AA116" si="201">SUM(Y27:Y30)</f>
        <v>62</v>
      </c>
      <c r="Z116" s="265">
        <f t="shared" si="201"/>
        <v>3</v>
      </c>
      <c r="AA116" s="43">
        <f t="shared" si="201"/>
        <v>0</v>
      </c>
      <c r="AB116" s="42">
        <f t="shared" si="176"/>
        <v>65</v>
      </c>
      <c r="AC116" s="58">
        <f t="shared" ref="AC116:AE116" si="202">SUM(AC27:AC30)</f>
        <v>22</v>
      </c>
      <c r="AD116" s="265">
        <f t="shared" si="202"/>
        <v>1</v>
      </c>
      <c r="AE116" s="43">
        <f t="shared" si="202"/>
        <v>0</v>
      </c>
      <c r="AF116" s="42">
        <f t="shared" si="178"/>
        <v>23</v>
      </c>
      <c r="AG116" s="58">
        <f t="shared" ref="AG116:AI116" si="203">SUM(AG27:AG30)</f>
        <v>303</v>
      </c>
      <c r="AH116" s="265">
        <f t="shared" si="203"/>
        <v>4</v>
      </c>
      <c r="AI116" s="43">
        <f t="shared" si="203"/>
        <v>0</v>
      </c>
      <c r="AJ116" s="42">
        <f t="shared" si="180"/>
        <v>307</v>
      </c>
      <c r="AK116" s="58">
        <f t="shared" ref="AK116:AM116" si="204">SUM(AK27:AK30)</f>
        <v>116</v>
      </c>
      <c r="AL116" s="265">
        <f t="shared" si="204"/>
        <v>0</v>
      </c>
      <c r="AM116" s="43">
        <f t="shared" si="204"/>
        <v>0</v>
      </c>
      <c r="AN116" s="42">
        <f t="shared" si="98"/>
        <v>116</v>
      </c>
      <c r="AO116" s="58">
        <f t="shared" ref="AO116:AQ116" si="205">SUM(AO27:AO30)</f>
        <v>2</v>
      </c>
      <c r="AP116" s="265">
        <f t="shared" si="205"/>
        <v>0</v>
      </c>
      <c r="AQ116" s="43">
        <f t="shared" si="205"/>
        <v>0</v>
      </c>
      <c r="AR116" s="42">
        <f t="shared" si="183"/>
        <v>2</v>
      </c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</row>
    <row r="117" spans="2:108" s="50" customFormat="1" ht="24.95" customHeight="1">
      <c r="B117" s="37">
        <f t="shared" si="111"/>
        <v>0.35416667499999976</v>
      </c>
      <c r="C117" s="38" t="s">
        <v>9</v>
      </c>
      <c r="D117" s="47">
        <f t="shared" si="164"/>
        <v>0.39583334499999978</v>
      </c>
      <c r="E117" s="58">
        <f t="shared" ref="E117" si="206">SUM(E28:E31)</f>
        <v>6</v>
      </c>
      <c r="F117" s="265">
        <f t="shared" ref="F117:G117" si="207">SUM(F28:F31)</f>
        <v>0</v>
      </c>
      <c r="G117" s="43">
        <f t="shared" si="207"/>
        <v>0</v>
      </c>
      <c r="H117" s="42">
        <f t="shared" si="167"/>
        <v>6</v>
      </c>
      <c r="I117" s="58">
        <f t="shared" ref="I117:K117" si="208">SUM(I28:I31)</f>
        <v>191</v>
      </c>
      <c r="J117" s="265">
        <f t="shared" si="208"/>
        <v>8</v>
      </c>
      <c r="K117" s="43">
        <f t="shared" si="208"/>
        <v>20</v>
      </c>
      <c r="L117" s="42">
        <f t="shared" si="169"/>
        <v>219</v>
      </c>
      <c r="M117" s="58">
        <f t="shared" ref="M117:O117" si="209">SUM(M28:M31)</f>
        <v>371</v>
      </c>
      <c r="N117" s="265">
        <f t="shared" si="209"/>
        <v>6</v>
      </c>
      <c r="O117" s="43">
        <f t="shared" si="209"/>
        <v>0</v>
      </c>
      <c r="P117" s="42">
        <f t="shared" si="171"/>
        <v>377</v>
      </c>
      <c r="Q117" s="58">
        <f t="shared" ref="Q117:S117" si="210">SUM(Q28:Q31)</f>
        <v>77</v>
      </c>
      <c r="R117" s="265">
        <f t="shared" si="210"/>
        <v>1</v>
      </c>
      <c r="S117" s="43">
        <f t="shared" si="210"/>
        <v>0</v>
      </c>
      <c r="T117" s="42">
        <f t="shared" si="88"/>
        <v>78</v>
      </c>
      <c r="U117" s="58">
        <f t="shared" ref="U117:W117" si="211">SUM(U28:U31)</f>
        <v>2</v>
      </c>
      <c r="V117" s="265">
        <f t="shared" si="211"/>
        <v>0</v>
      </c>
      <c r="W117" s="43">
        <f t="shared" si="211"/>
        <v>0</v>
      </c>
      <c r="X117" s="42">
        <f t="shared" si="174"/>
        <v>2</v>
      </c>
      <c r="Y117" s="58">
        <f t="shared" ref="Y117:AA117" si="212">SUM(Y28:Y31)</f>
        <v>71</v>
      </c>
      <c r="Z117" s="265">
        <f t="shared" si="212"/>
        <v>3</v>
      </c>
      <c r="AA117" s="43">
        <f t="shared" si="212"/>
        <v>0</v>
      </c>
      <c r="AB117" s="42">
        <f t="shared" si="176"/>
        <v>74</v>
      </c>
      <c r="AC117" s="58">
        <f t="shared" ref="AC117:AE117" si="213">SUM(AC28:AC31)</f>
        <v>20</v>
      </c>
      <c r="AD117" s="265">
        <f t="shared" si="213"/>
        <v>1</v>
      </c>
      <c r="AE117" s="43">
        <f t="shared" si="213"/>
        <v>0</v>
      </c>
      <c r="AF117" s="42">
        <f t="shared" si="178"/>
        <v>21</v>
      </c>
      <c r="AG117" s="58">
        <f t="shared" ref="AG117:AI117" si="214">SUM(AG28:AG31)</f>
        <v>241</v>
      </c>
      <c r="AH117" s="265">
        <f t="shared" si="214"/>
        <v>4</v>
      </c>
      <c r="AI117" s="43">
        <f t="shared" si="214"/>
        <v>0</v>
      </c>
      <c r="AJ117" s="42">
        <f t="shared" si="180"/>
        <v>245</v>
      </c>
      <c r="AK117" s="58">
        <f t="shared" ref="AK117:AM117" si="215">SUM(AK28:AK31)</f>
        <v>90</v>
      </c>
      <c r="AL117" s="265">
        <f t="shared" si="215"/>
        <v>0</v>
      </c>
      <c r="AM117" s="43">
        <f t="shared" si="215"/>
        <v>0</v>
      </c>
      <c r="AN117" s="42">
        <f t="shared" si="98"/>
        <v>90</v>
      </c>
      <c r="AO117" s="58">
        <f t="shared" ref="AO117:AQ117" si="216">SUM(AO28:AO31)</f>
        <v>2</v>
      </c>
      <c r="AP117" s="265">
        <f t="shared" si="216"/>
        <v>0</v>
      </c>
      <c r="AQ117" s="43">
        <f t="shared" si="216"/>
        <v>0</v>
      </c>
      <c r="AR117" s="42">
        <f t="shared" si="183"/>
        <v>2</v>
      </c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</row>
    <row r="118" spans="2:108" s="50" customFormat="1" ht="24.95" customHeight="1">
      <c r="B118" s="37">
        <f t="shared" si="111"/>
        <v>0.36458334249999974</v>
      </c>
      <c r="C118" s="38" t="s">
        <v>9</v>
      </c>
      <c r="D118" s="47">
        <f t="shared" si="164"/>
        <v>0.40625001249999976</v>
      </c>
      <c r="E118" s="58">
        <f t="shared" ref="E118" si="217">SUM(E29:E32)</f>
        <v>8</v>
      </c>
      <c r="F118" s="265">
        <f t="shared" ref="F118:G118" si="218">SUM(F29:F32)</f>
        <v>0</v>
      </c>
      <c r="G118" s="43">
        <f t="shared" si="218"/>
        <v>0</v>
      </c>
      <c r="H118" s="42">
        <f t="shared" si="167"/>
        <v>8</v>
      </c>
      <c r="I118" s="58">
        <f t="shared" ref="I118:K118" si="219">SUM(I29:I32)</f>
        <v>202</v>
      </c>
      <c r="J118" s="265">
        <f t="shared" si="219"/>
        <v>8</v>
      </c>
      <c r="K118" s="43">
        <f t="shared" si="219"/>
        <v>19</v>
      </c>
      <c r="L118" s="42">
        <f t="shared" si="169"/>
        <v>229</v>
      </c>
      <c r="M118" s="58">
        <f t="shared" ref="M118:O118" si="220">SUM(M29:M32)</f>
        <v>342</v>
      </c>
      <c r="N118" s="265">
        <f t="shared" si="220"/>
        <v>7</v>
      </c>
      <c r="O118" s="43">
        <f t="shared" si="220"/>
        <v>0</v>
      </c>
      <c r="P118" s="42">
        <f t="shared" si="171"/>
        <v>349</v>
      </c>
      <c r="Q118" s="58">
        <f t="shared" ref="Q118:S118" si="221">SUM(Q29:Q32)</f>
        <v>85</v>
      </c>
      <c r="R118" s="265">
        <f t="shared" si="221"/>
        <v>1</v>
      </c>
      <c r="S118" s="43">
        <f t="shared" si="221"/>
        <v>0</v>
      </c>
      <c r="T118" s="42">
        <f t="shared" si="88"/>
        <v>86</v>
      </c>
      <c r="U118" s="58">
        <f t="shared" ref="U118:W118" si="222">SUM(U29:U32)</f>
        <v>4</v>
      </c>
      <c r="V118" s="265">
        <f t="shared" si="222"/>
        <v>0</v>
      </c>
      <c r="W118" s="43">
        <f t="shared" si="222"/>
        <v>0</v>
      </c>
      <c r="X118" s="42">
        <f t="shared" si="174"/>
        <v>4</v>
      </c>
      <c r="Y118" s="58">
        <f t="shared" ref="Y118:AA118" si="223">SUM(Y29:Y32)</f>
        <v>73</v>
      </c>
      <c r="Z118" s="265">
        <f t="shared" si="223"/>
        <v>4</v>
      </c>
      <c r="AA118" s="43">
        <f t="shared" si="223"/>
        <v>0</v>
      </c>
      <c r="AB118" s="42">
        <f t="shared" si="176"/>
        <v>77</v>
      </c>
      <c r="AC118" s="58">
        <f t="shared" ref="AC118:AE118" si="224">SUM(AC29:AC32)</f>
        <v>17</v>
      </c>
      <c r="AD118" s="265">
        <f t="shared" si="224"/>
        <v>1</v>
      </c>
      <c r="AE118" s="43">
        <f t="shared" si="224"/>
        <v>0</v>
      </c>
      <c r="AF118" s="42">
        <f t="shared" si="178"/>
        <v>18</v>
      </c>
      <c r="AG118" s="58">
        <f t="shared" ref="AG118:AI118" si="225">SUM(AG29:AG32)</f>
        <v>205</v>
      </c>
      <c r="AH118" s="265">
        <f t="shared" si="225"/>
        <v>7</v>
      </c>
      <c r="AI118" s="43">
        <f t="shared" si="225"/>
        <v>0</v>
      </c>
      <c r="AJ118" s="42">
        <f t="shared" si="180"/>
        <v>212</v>
      </c>
      <c r="AK118" s="58">
        <f t="shared" ref="AK118:AM118" si="226">SUM(AK29:AK32)</f>
        <v>64</v>
      </c>
      <c r="AL118" s="265">
        <f t="shared" si="226"/>
        <v>0</v>
      </c>
      <c r="AM118" s="43">
        <f t="shared" si="226"/>
        <v>0</v>
      </c>
      <c r="AN118" s="42">
        <f t="shared" si="98"/>
        <v>64</v>
      </c>
      <c r="AO118" s="58">
        <f t="shared" ref="AO118:AQ118" si="227">SUM(AO29:AO32)</f>
        <v>1</v>
      </c>
      <c r="AP118" s="265">
        <f t="shared" si="227"/>
        <v>0</v>
      </c>
      <c r="AQ118" s="43">
        <f t="shared" si="227"/>
        <v>0</v>
      </c>
      <c r="AR118" s="42">
        <f t="shared" si="183"/>
        <v>1</v>
      </c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</row>
    <row r="119" spans="2:108" s="50" customFormat="1" ht="24.95" customHeight="1" thickBot="1">
      <c r="B119" s="37">
        <f t="shared" si="111"/>
        <v>0.37500000999999972</v>
      </c>
      <c r="C119" s="38" t="s">
        <v>9</v>
      </c>
      <c r="D119" s="47">
        <f t="shared" si="164"/>
        <v>0.41666667999999973</v>
      </c>
      <c r="E119" s="58">
        <f t="shared" ref="E119" si="228">SUM(E30:E33)</f>
        <v>13</v>
      </c>
      <c r="F119" s="265">
        <f t="shared" ref="F119:G119" si="229">SUM(F30:F33)</f>
        <v>1</v>
      </c>
      <c r="G119" s="43">
        <f t="shared" si="229"/>
        <v>0</v>
      </c>
      <c r="H119" s="42">
        <f t="shared" si="167"/>
        <v>14</v>
      </c>
      <c r="I119" s="58">
        <f t="shared" ref="I119:K119" si="230">SUM(I30:I33)</f>
        <v>218</v>
      </c>
      <c r="J119" s="265">
        <f t="shared" si="230"/>
        <v>5</v>
      </c>
      <c r="K119" s="43">
        <f t="shared" si="230"/>
        <v>18</v>
      </c>
      <c r="L119" s="42">
        <f t="shared" si="169"/>
        <v>241</v>
      </c>
      <c r="M119" s="58">
        <f t="shared" ref="M119:O119" si="231">SUM(M30:M33)</f>
        <v>307</v>
      </c>
      <c r="N119" s="265">
        <f t="shared" si="231"/>
        <v>5</v>
      </c>
      <c r="O119" s="43">
        <f t="shared" si="231"/>
        <v>0</v>
      </c>
      <c r="P119" s="42">
        <f t="shared" si="171"/>
        <v>312</v>
      </c>
      <c r="Q119" s="58">
        <f t="shared" ref="Q119:S119" si="232">SUM(Q30:Q33)</f>
        <v>74</v>
      </c>
      <c r="R119" s="265">
        <f t="shared" si="232"/>
        <v>1</v>
      </c>
      <c r="S119" s="43">
        <f t="shared" si="232"/>
        <v>0</v>
      </c>
      <c r="T119" s="42">
        <f t="shared" si="88"/>
        <v>75</v>
      </c>
      <c r="U119" s="58">
        <f t="shared" ref="U119:W119" si="233">SUM(U30:U33)</f>
        <v>3</v>
      </c>
      <c r="V119" s="265">
        <f t="shared" si="233"/>
        <v>0</v>
      </c>
      <c r="W119" s="43">
        <f t="shared" si="233"/>
        <v>0</v>
      </c>
      <c r="X119" s="42">
        <f t="shared" si="174"/>
        <v>3</v>
      </c>
      <c r="Y119" s="58">
        <f t="shared" ref="Y119:AA119" si="234">SUM(Y30:Y33)</f>
        <v>64</v>
      </c>
      <c r="Z119" s="265">
        <f t="shared" si="234"/>
        <v>4</v>
      </c>
      <c r="AA119" s="43">
        <f t="shared" si="234"/>
        <v>0</v>
      </c>
      <c r="AB119" s="42">
        <f t="shared" si="176"/>
        <v>68</v>
      </c>
      <c r="AC119" s="58">
        <f t="shared" ref="AC119:AE119" si="235">SUM(AC30:AC33)</f>
        <v>12</v>
      </c>
      <c r="AD119" s="265">
        <f t="shared" si="235"/>
        <v>0</v>
      </c>
      <c r="AE119" s="43">
        <f t="shared" si="235"/>
        <v>0</v>
      </c>
      <c r="AF119" s="42">
        <f t="shared" si="178"/>
        <v>12</v>
      </c>
      <c r="AG119" s="58">
        <f t="shared" ref="AG119:AI119" si="236">SUM(AG30:AG33)</f>
        <v>167</v>
      </c>
      <c r="AH119" s="265">
        <f t="shared" si="236"/>
        <v>8</v>
      </c>
      <c r="AI119" s="43">
        <f t="shared" si="236"/>
        <v>0</v>
      </c>
      <c r="AJ119" s="42">
        <f t="shared" si="180"/>
        <v>175</v>
      </c>
      <c r="AK119" s="58">
        <f t="shared" ref="AK119:AM119" si="237">SUM(AK30:AK33)</f>
        <v>53</v>
      </c>
      <c r="AL119" s="265">
        <f t="shared" si="237"/>
        <v>0</v>
      </c>
      <c r="AM119" s="43">
        <f t="shared" si="237"/>
        <v>0</v>
      </c>
      <c r="AN119" s="42">
        <f t="shared" si="98"/>
        <v>53</v>
      </c>
      <c r="AO119" s="58">
        <f t="shared" ref="AO119:AQ119" si="238">SUM(AO30:AO33)</f>
        <v>1</v>
      </c>
      <c r="AP119" s="265">
        <f t="shared" si="238"/>
        <v>0</v>
      </c>
      <c r="AQ119" s="43">
        <f t="shared" si="238"/>
        <v>0</v>
      </c>
      <c r="AR119" s="42">
        <f t="shared" si="183"/>
        <v>1</v>
      </c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</row>
    <row r="120" spans="2:108" s="50" customFormat="1" ht="30" customHeight="1" thickBot="1">
      <c r="B120" s="369" t="str">
        <f>B34</f>
        <v>AM Totals</v>
      </c>
      <c r="C120" s="370"/>
      <c r="D120" s="371"/>
      <c r="E120" s="44">
        <f t="shared" ref="E120:AR120" si="239">E34</f>
        <v>21</v>
      </c>
      <c r="F120" s="263">
        <f t="shared" ref="F120:G120" si="240">F34</f>
        <v>1</v>
      </c>
      <c r="G120" s="45">
        <f t="shared" si="240"/>
        <v>0</v>
      </c>
      <c r="H120" s="44">
        <f t="shared" si="239"/>
        <v>22</v>
      </c>
      <c r="I120" s="44">
        <f t="shared" ref="I120:K120" si="241">I34</f>
        <v>633</v>
      </c>
      <c r="J120" s="263">
        <f t="shared" si="241"/>
        <v>22</v>
      </c>
      <c r="K120" s="45">
        <f t="shared" si="241"/>
        <v>79</v>
      </c>
      <c r="L120" s="44">
        <f t="shared" si="239"/>
        <v>734</v>
      </c>
      <c r="M120" s="44">
        <f t="shared" ref="M120:O120" si="242">M34</f>
        <v>1900</v>
      </c>
      <c r="N120" s="263">
        <f t="shared" si="242"/>
        <v>21</v>
      </c>
      <c r="O120" s="45">
        <f t="shared" si="242"/>
        <v>1</v>
      </c>
      <c r="P120" s="44">
        <f t="shared" si="239"/>
        <v>1922</v>
      </c>
      <c r="Q120" s="44">
        <f t="shared" ref="Q120:S120" si="243">Q34</f>
        <v>216</v>
      </c>
      <c r="R120" s="263">
        <f t="shared" si="243"/>
        <v>6</v>
      </c>
      <c r="S120" s="45">
        <f t="shared" si="243"/>
        <v>0</v>
      </c>
      <c r="T120" s="44">
        <f t="shared" ref="T120:W120" si="244">T34</f>
        <v>222</v>
      </c>
      <c r="U120" s="44">
        <f t="shared" si="244"/>
        <v>8</v>
      </c>
      <c r="V120" s="263">
        <f t="shared" si="244"/>
        <v>0</v>
      </c>
      <c r="W120" s="45">
        <f t="shared" si="244"/>
        <v>0</v>
      </c>
      <c r="X120" s="44">
        <f t="shared" si="239"/>
        <v>8</v>
      </c>
      <c r="Y120" s="44">
        <f t="shared" ref="Y120:AA120" si="245">Y34</f>
        <v>168</v>
      </c>
      <c r="Z120" s="263">
        <f t="shared" si="245"/>
        <v>4</v>
      </c>
      <c r="AA120" s="45">
        <f t="shared" si="245"/>
        <v>0</v>
      </c>
      <c r="AB120" s="44">
        <f t="shared" si="239"/>
        <v>172</v>
      </c>
      <c r="AC120" s="44">
        <f t="shared" ref="AC120:AE120" si="246">AC34</f>
        <v>42</v>
      </c>
      <c r="AD120" s="263">
        <f t="shared" si="246"/>
        <v>2</v>
      </c>
      <c r="AE120" s="45">
        <f t="shared" si="246"/>
        <v>0</v>
      </c>
      <c r="AF120" s="44">
        <f t="shared" si="239"/>
        <v>44</v>
      </c>
      <c r="AG120" s="44">
        <f t="shared" ref="AG120:AI120" si="247">AG34</f>
        <v>787</v>
      </c>
      <c r="AH120" s="263">
        <f t="shared" si="247"/>
        <v>18</v>
      </c>
      <c r="AI120" s="45">
        <f t="shared" si="247"/>
        <v>0</v>
      </c>
      <c r="AJ120" s="44">
        <f t="shared" si="239"/>
        <v>805</v>
      </c>
      <c r="AK120" s="44">
        <f t="shared" ref="AK120:AM120" si="248">AK34</f>
        <v>331</v>
      </c>
      <c r="AL120" s="263">
        <f t="shared" si="248"/>
        <v>1</v>
      </c>
      <c r="AM120" s="45">
        <f t="shared" si="248"/>
        <v>0</v>
      </c>
      <c r="AN120" s="46">
        <f t="shared" ref="AN120:AQ120" si="249">AN34</f>
        <v>332</v>
      </c>
      <c r="AO120" s="44">
        <f t="shared" si="249"/>
        <v>3</v>
      </c>
      <c r="AP120" s="263">
        <f t="shared" si="249"/>
        <v>0</v>
      </c>
      <c r="AQ120" s="45">
        <f t="shared" si="249"/>
        <v>0</v>
      </c>
      <c r="AR120" s="46">
        <f t="shared" si="239"/>
        <v>3</v>
      </c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</row>
    <row r="121" spans="2:108" s="50" customFormat="1" ht="24.95" customHeight="1">
      <c r="B121" s="37">
        <f>B35</f>
        <v>0.60416666666666663</v>
      </c>
      <c r="C121" s="38" t="s">
        <v>9</v>
      </c>
      <c r="D121" s="39">
        <f t="shared" ref="D121:D125" si="250">SUM(0.04166667)+B121</f>
        <v>0.64583333666666665</v>
      </c>
      <c r="E121" s="33">
        <f t="shared" ref="E121:E127" si="251">SUM(E35:E38)</f>
        <v>15</v>
      </c>
      <c r="F121" s="264">
        <f t="shared" ref="F121:G121" si="252">SUM(F35:F38)</f>
        <v>1</v>
      </c>
      <c r="G121" s="34">
        <f t="shared" si="252"/>
        <v>0</v>
      </c>
      <c r="H121" s="42">
        <f t="shared" ref="H121:H127" si="253">SUM(E121:G121)</f>
        <v>16</v>
      </c>
      <c r="I121" s="33">
        <f t="shared" ref="I121:K121" si="254">SUM(I35:I38)</f>
        <v>235</v>
      </c>
      <c r="J121" s="264">
        <f t="shared" si="254"/>
        <v>1</v>
      </c>
      <c r="K121" s="34">
        <f t="shared" si="254"/>
        <v>16</v>
      </c>
      <c r="L121" s="42">
        <f t="shared" ref="L121:L127" si="255">SUM(I121:K121)</f>
        <v>252</v>
      </c>
      <c r="M121" s="33">
        <f t="shared" ref="M121:O121" si="256">SUM(M35:M38)</f>
        <v>283</v>
      </c>
      <c r="N121" s="264">
        <f t="shared" si="256"/>
        <v>4</v>
      </c>
      <c r="O121" s="34">
        <f t="shared" si="256"/>
        <v>1</v>
      </c>
      <c r="P121" s="42">
        <f t="shared" ref="P121:P127" si="257">SUM(M121:O121)</f>
        <v>288</v>
      </c>
      <c r="Q121" s="33">
        <f t="shared" ref="Q121:S121" si="258">SUM(Q35:Q38)</f>
        <v>110</v>
      </c>
      <c r="R121" s="264">
        <f t="shared" si="258"/>
        <v>3</v>
      </c>
      <c r="S121" s="34">
        <f t="shared" si="258"/>
        <v>0</v>
      </c>
      <c r="T121" s="42">
        <f t="shared" ref="T121:T133" si="259">SUM(Q121:S121)</f>
        <v>113</v>
      </c>
      <c r="U121" s="33">
        <f t="shared" ref="U121:W121" si="260">SUM(U35:U38)</f>
        <v>9</v>
      </c>
      <c r="V121" s="264">
        <f t="shared" si="260"/>
        <v>0</v>
      </c>
      <c r="W121" s="34">
        <f t="shared" si="260"/>
        <v>0</v>
      </c>
      <c r="X121" s="42">
        <f t="shared" ref="X121:X127" si="261">SUM(U121:W121)</f>
        <v>9</v>
      </c>
      <c r="Y121" s="33">
        <f t="shared" ref="Y121:AA121" si="262">SUM(Y35:Y38)</f>
        <v>87</v>
      </c>
      <c r="Z121" s="264">
        <f t="shared" si="262"/>
        <v>1</v>
      </c>
      <c r="AA121" s="34">
        <f t="shared" si="262"/>
        <v>0</v>
      </c>
      <c r="AB121" s="42">
        <f t="shared" ref="AB121:AB127" si="263">SUM(Y121:AA121)</f>
        <v>88</v>
      </c>
      <c r="AC121" s="33">
        <f t="shared" ref="AC121:AE121" si="264">SUM(AC35:AC38)</f>
        <v>30</v>
      </c>
      <c r="AD121" s="264">
        <f t="shared" si="264"/>
        <v>0</v>
      </c>
      <c r="AE121" s="34">
        <f t="shared" si="264"/>
        <v>0</v>
      </c>
      <c r="AF121" s="42">
        <f t="shared" ref="AF121:AF127" si="265">SUM(AC121:AE121)</f>
        <v>30</v>
      </c>
      <c r="AG121" s="33">
        <f t="shared" ref="AG121:AI121" si="266">SUM(AG35:AG38)</f>
        <v>193</v>
      </c>
      <c r="AH121" s="264">
        <f t="shared" si="266"/>
        <v>4</v>
      </c>
      <c r="AI121" s="34">
        <f t="shared" si="266"/>
        <v>0</v>
      </c>
      <c r="AJ121" s="42">
        <f t="shared" ref="AJ121:AJ127" si="267">SUM(AG121:AI121)</f>
        <v>197</v>
      </c>
      <c r="AK121" s="33">
        <f t="shared" ref="AK121:AM121" si="268">SUM(AK35:AK38)</f>
        <v>54</v>
      </c>
      <c r="AL121" s="264">
        <f t="shared" si="268"/>
        <v>0</v>
      </c>
      <c r="AM121" s="34">
        <f t="shared" si="268"/>
        <v>0</v>
      </c>
      <c r="AN121" s="42">
        <f t="shared" ref="AN121:AN133" si="269">SUM(AK121:AM121)</f>
        <v>54</v>
      </c>
      <c r="AO121" s="33">
        <f t="shared" ref="AO121:AQ121" si="270">SUM(AO35:AO38)</f>
        <v>7</v>
      </c>
      <c r="AP121" s="264">
        <f t="shared" si="270"/>
        <v>0</v>
      </c>
      <c r="AQ121" s="34">
        <f t="shared" si="270"/>
        <v>0</v>
      </c>
      <c r="AR121" s="42">
        <f t="shared" ref="AR121:AR127" si="271">SUM(AO121:AQ121)</f>
        <v>7</v>
      </c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</row>
    <row r="122" spans="2:108" s="50" customFormat="1" ht="24.95" customHeight="1">
      <c r="B122" s="37">
        <f t="shared" ref="B122:B133" si="272">SUM(0.04166667/4+B121)</f>
        <v>0.61458333416666666</v>
      </c>
      <c r="C122" s="38" t="s">
        <v>9</v>
      </c>
      <c r="D122" s="39">
        <f t="shared" si="250"/>
        <v>0.65625000416666668</v>
      </c>
      <c r="E122" s="58">
        <f t="shared" si="251"/>
        <v>14</v>
      </c>
      <c r="F122" s="265">
        <f t="shared" ref="F122:G122" si="273">SUM(F36:F39)</f>
        <v>1</v>
      </c>
      <c r="G122" s="43">
        <f t="shared" si="273"/>
        <v>0</v>
      </c>
      <c r="H122" s="42">
        <f t="shared" si="253"/>
        <v>15</v>
      </c>
      <c r="I122" s="58">
        <f t="shared" ref="I122:K122" si="274">SUM(I36:I39)</f>
        <v>241</v>
      </c>
      <c r="J122" s="265">
        <f t="shared" si="274"/>
        <v>2</v>
      </c>
      <c r="K122" s="43">
        <f t="shared" si="274"/>
        <v>15</v>
      </c>
      <c r="L122" s="42">
        <f t="shared" si="255"/>
        <v>258</v>
      </c>
      <c r="M122" s="58">
        <f t="shared" ref="M122:O122" si="275">SUM(M36:M39)</f>
        <v>300</v>
      </c>
      <c r="N122" s="265">
        <f t="shared" si="275"/>
        <v>2</v>
      </c>
      <c r="O122" s="43">
        <f t="shared" si="275"/>
        <v>1</v>
      </c>
      <c r="P122" s="42">
        <f t="shared" si="257"/>
        <v>303</v>
      </c>
      <c r="Q122" s="58">
        <f t="shared" ref="Q122:S122" si="276">SUM(Q36:Q39)</f>
        <v>120</v>
      </c>
      <c r="R122" s="265">
        <f t="shared" si="276"/>
        <v>3</v>
      </c>
      <c r="S122" s="43">
        <f t="shared" si="276"/>
        <v>0</v>
      </c>
      <c r="T122" s="42">
        <f t="shared" si="259"/>
        <v>123</v>
      </c>
      <c r="U122" s="58">
        <f t="shared" ref="U122:W122" si="277">SUM(U36:U39)</f>
        <v>12</v>
      </c>
      <c r="V122" s="265">
        <f t="shared" si="277"/>
        <v>0</v>
      </c>
      <c r="W122" s="43">
        <f t="shared" si="277"/>
        <v>0</v>
      </c>
      <c r="X122" s="42">
        <f t="shared" si="261"/>
        <v>12</v>
      </c>
      <c r="Y122" s="58">
        <f t="shared" ref="Y122:AA122" si="278">SUM(Y36:Y39)</f>
        <v>83</v>
      </c>
      <c r="Z122" s="265">
        <f t="shared" si="278"/>
        <v>1</v>
      </c>
      <c r="AA122" s="43">
        <f t="shared" si="278"/>
        <v>0</v>
      </c>
      <c r="AB122" s="42">
        <f t="shared" si="263"/>
        <v>84</v>
      </c>
      <c r="AC122" s="58">
        <f t="shared" ref="AC122:AE122" si="279">SUM(AC36:AC39)</f>
        <v>31</v>
      </c>
      <c r="AD122" s="265">
        <f t="shared" si="279"/>
        <v>0</v>
      </c>
      <c r="AE122" s="43">
        <f t="shared" si="279"/>
        <v>0</v>
      </c>
      <c r="AF122" s="42">
        <f t="shared" si="265"/>
        <v>31</v>
      </c>
      <c r="AG122" s="58">
        <f t="shared" ref="AG122:AI122" si="280">SUM(AG36:AG39)</f>
        <v>198</v>
      </c>
      <c r="AH122" s="265">
        <f t="shared" si="280"/>
        <v>6</v>
      </c>
      <c r="AI122" s="43">
        <f t="shared" si="280"/>
        <v>0</v>
      </c>
      <c r="AJ122" s="42">
        <f t="shared" si="267"/>
        <v>204</v>
      </c>
      <c r="AK122" s="58">
        <f t="shared" ref="AK122:AM122" si="281">SUM(AK36:AK39)</f>
        <v>58</v>
      </c>
      <c r="AL122" s="265">
        <f t="shared" si="281"/>
        <v>0</v>
      </c>
      <c r="AM122" s="43">
        <f t="shared" si="281"/>
        <v>0</v>
      </c>
      <c r="AN122" s="42">
        <f t="shared" si="269"/>
        <v>58</v>
      </c>
      <c r="AO122" s="58">
        <f t="shared" ref="AO122:AQ122" si="282">SUM(AO36:AO39)</f>
        <v>4</v>
      </c>
      <c r="AP122" s="265">
        <f t="shared" si="282"/>
        <v>0</v>
      </c>
      <c r="AQ122" s="43">
        <f t="shared" si="282"/>
        <v>0</v>
      </c>
      <c r="AR122" s="42">
        <f t="shared" si="271"/>
        <v>4</v>
      </c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</row>
    <row r="123" spans="2:108" s="50" customFormat="1" ht="24.95" customHeight="1">
      <c r="B123" s="30">
        <f t="shared" si="272"/>
        <v>0.62500000166666669</v>
      </c>
      <c r="C123" s="31" t="s">
        <v>9</v>
      </c>
      <c r="D123" s="39">
        <f t="shared" si="250"/>
        <v>0.66666667166666671</v>
      </c>
      <c r="E123" s="58">
        <f t="shared" si="251"/>
        <v>14</v>
      </c>
      <c r="F123" s="265">
        <f t="shared" ref="F123:G123" si="283">SUM(F37:F40)</f>
        <v>0</v>
      </c>
      <c r="G123" s="43">
        <f t="shared" si="283"/>
        <v>0</v>
      </c>
      <c r="H123" s="42">
        <f t="shared" si="253"/>
        <v>14</v>
      </c>
      <c r="I123" s="58">
        <f t="shared" ref="I123:K123" si="284">SUM(I37:I40)</f>
        <v>203</v>
      </c>
      <c r="J123" s="265">
        <f t="shared" si="284"/>
        <v>1</v>
      </c>
      <c r="K123" s="43">
        <f t="shared" si="284"/>
        <v>16</v>
      </c>
      <c r="L123" s="42">
        <f t="shared" si="255"/>
        <v>220</v>
      </c>
      <c r="M123" s="58">
        <f t="shared" ref="M123:O123" si="285">SUM(M37:M40)</f>
        <v>302</v>
      </c>
      <c r="N123" s="265">
        <f t="shared" si="285"/>
        <v>3</v>
      </c>
      <c r="O123" s="43">
        <f t="shared" si="285"/>
        <v>0</v>
      </c>
      <c r="P123" s="42">
        <f t="shared" si="257"/>
        <v>305</v>
      </c>
      <c r="Q123" s="58">
        <f t="shared" ref="Q123:S123" si="286">SUM(Q37:Q40)</f>
        <v>127</v>
      </c>
      <c r="R123" s="265">
        <f t="shared" si="286"/>
        <v>3</v>
      </c>
      <c r="S123" s="43">
        <f t="shared" si="286"/>
        <v>0</v>
      </c>
      <c r="T123" s="42">
        <f t="shared" si="259"/>
        <v>130</v>
      </c>
      <c r="U123" s="58">
        <f t="shared" ref="U123:W123" si="287">SUM(U37:U40)</f>
        <v>5</v>
      </c>
      <c r="V123" s="265">
        <f t="shared" si="287"/>
        <v>0</v>
      </c>
      <c r="W123" s="43">
        <f t="shared" si="287"/>
        <v>0</v>
      </c>
      <c r="X123" s="42">
        <f t="shared" si="261"/>
        <v>5</v>
      </c>
      <c r="Y123" s="58">
        <f t="shared" ref="Y123:AA123" si="288">SUM(Y37:Y40)</f>
        <v>76</v>
      </c>
      <c r="Z123" s="265">
        <f t="shared" si="288"/>
        <v>0</v>
      </c>
      <c r="AA123" s="43">
        <f t="shared" si="288"/>
        <v>0</v>
      </c>
      <c r="AB123" s="42">
        <f t="shared" si="263"/>
        <v>76</v>
      </c>
      <c r="AC123" s="58">
        <f t="shared" ref="AC123:AE123" si="289">SUM(AC37:AC40)</f>
        <v>40</v>
      </c>
      <c r="AD123" s="265">
        <f t="shared" si="289"/>
        <v>0</v>
      </c>
      <c r="AE123" s="43">
        <f t="shared" si="289"/>
        <v>0</v>
      </c>
      <c r="AF123" s="42">
        <f t="shared" si="265"/>
        <v>40</v>
      </c>
      <c r="AG123" s="58">
        <f t="shared" ref="AG123:AI123" si="290">SUM(AG37:AG40)</f>
        <v>178</v>
      </c>
      <c r="AH123" s="265">
        <f t="shared" si="290"/>
        <v>4</v>
      </c>
      <c r="AI123" s="43">
        <f t="shared" si="290"/>
        <v>0</v>
      </c>
      <c r="AJ123" s="42">
        <f t="shared" si="267"/>
        <v>182</v>
      </c>
      <c r="AK123" s="58">
        <f t="shared" ref="AK123:AM123" si="291">SUM(AK37:AK40)</f>
        <v>69</v>
      </c>
      <c r="AL123" s="265">
        <f t="shared" si="291"/>
        <v>0</v>
      </c>
      <c r="AM123" s="43">
        <f t="shared" si="291"/>
        <v>0</v>
      </c>
      <c r="AN123" s="42">
        <f t="shared" si="269"/>
        <v>69</v>
      </c>
      <c r="AO123" s="58">
        <f t="shared" ref="AO123:AQ123" si="292">SUM(AO37:AO40)</f>
        <v>4</v>
      </c>
      <c r="AP123" s="265">
        <f t="shared" si="292"/>
        <v>0</v>
      </c>
      <c r="AQ123" s="43">
        <f t="shared" si="292"/>
        <v>0</v>
      </c>
      <c r="AR123" s="42">
        <f t="shared" si="271"/>
        <v>4</v>
      </c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</row>
    <row r="124" spans="2:108" s="50" customFormat="1" ht="24.95" customHeight="1">
      <c r="B124" s="37">
        <f t="shared" si="272"/>
        <v>0.63541666916666673</v>
      </c>
      <c r="C124" s="38" t="s">
        <v>9</v>
      </c>
      <c r="D124" s="39">
        <f t="shared" si="250"/>
        <v>0.67708333916666674</v>
      </c>
      <c r="E124" s="58">
        <f t="shared" si="251"/>
        <v>14</v>
      </c>
      <c r="F124" s="265">
        <f t="shared" ref="F124:G124" si="293">SUM(F38:F41)</f>
        <v>0</v>
      </c>
      <c r="G124" s="43">
        <f t="shared" si="293"/>
        <v>0</v>
      </c>
      <c r="H124" s="42">
        <f t="shared" si="253"/>
        <v>14</v>
      </c>
      <c r="I124" s="58">
        <f t="shared" ref="I124:K124" si="294">SUM(I38:I41)</f>
        <v>218</v>
      </c>
      <c r="J124" s="265">
        <f t="shared" si="294"/>
        <v>2</v>
      </c>
      <c r="K124" s="43">
        <f t="shared" si="294"/>
        <v>17</v>
      </c>
      <c r="L124" s="42">
        <f t="shared" si="255"/>
        <v>237</v>
      </c>
      <c r="M124" s="58">
        <f t="shared" ref="M124:O124" si="295">SUM(M38:M41)</f>
        <v>320</v>
      </c>
      <c r="N124" s="265">
        <f t="shared" si="295"/>
        <v>2</v>
      </c>
      <c r="O124" s="43">
        <f t="shared" si="295"/>
        <v>0</v>
      </c>
      <c r="P124" s="42">
        <f t="shared" si="257"/>
        <v>322</v>
      </c>
      <c r="Q124" s="58">
        <f t="shared" ref="Q124:S124" si="296">SUM(Q38:Q41)</f>
        <v>113</v>
      </c>
      <c r="R124" s="265">
        <f t="shared" si="296"/>
        <v>3</v>
      </c>
      <c r="S124" s="43">
        <f t="shared" si="296"/>
        <v>0</v>
      </c>
      <c r="T124" s="42">
        <f t="shared" si="259"/>
        <v>116</v>
      </c>
      <c r="U124" s="58">
        <f t="shared" ref="U124:W124" si="297">SUM(U38:U41)</f>
        <v>7</v>
      </c>
      <c r="V124" s="265">
        <f t="shared" si="297"/>
        <v>0</v>
      </c>
      <c r="W124" s="43">
        <f t="shared" si="297"/>
        <v>0</v>
      </c>
      <c r="X124" s="42">
        <f t="shared" si="261"/>
        <v>7</v>
      </c>
      <c r="Y124" s="58">
        <f t="shared" ref="Y124:AA124" si="298">SUM(Y38:Y41)</f>
        <v>63</v>
      </c>
      <c r="Z124" s="265">
        <f t="shared" si="298"/>
        <v>2</v>
      </c>
      <c r="AA124" s="43">
        <f t="shared" si="298"/>
        <v>0</v>
      </c>
      <c r="AB124" s="42">
        <f t="shared" si="263"/>
        <v>65</v>
      </c>
      <c r="AC124" s="58">
        <f t="shared" ref="AC124:AE124" si="299">SUM(AC38:AC41)</f>
        <v>43</v>
      </c>
      <c r="AD124" s="265">
        <f t="shared" si="299"/>
        <v>0</v>
      </c>
      <c r="AE124" s="43">
        <f t="shared" si="299"/>
        <v>0</v>
      </c>
      <c r="AF124" s="42">
        <f t="shared" si="265"/>
        <v>43</v>
      </c>
      <c r="AG124" s="58">
        <f t="shared" ref="AG124:AI124" si="300">SUM(AG38:AG41)</f>
        <v>140</v>
      </c>
      <c r="AH124" s="265">
        <f t="shared" si="300"/>
        <v>3</v>
      </c>
      <c r="AI124" s="43">
        <f t="shared" si="300"/>
        <v>0</v>
      </c>
      <c r="AJ124" s="42">
        <f t="shared" si="267"/>
        <v>143</v>
      </c>
      <c r="AK124" s="58">
        <f t="shared" ref="AK124:AM124" si="301">SUM(AK38:AK41)</f>
        <v>60</v>
      </c>
      <c r="AL124" s="265">
        <f t="shared" si="301"/>
        <v>0</v>
      </c>
      <c r="AM124" s="43">
        <f t="shared" si="301"/>
        <v>0</v>
      </c>
      <c r="AN124" s="42">
        <f t="shared" si="269"/>
        <v>60</v>
      </c>
      <c r="AO124" s="58">
        <f t="shared" ref="AO124:AQ124" si="302">SUM(AO38:AO41)</f>
        <v>5</v>
      </c>
      <c r="AP124" s="265">
        <f t="shared" si="302"/>
        <v>0</v>
      </c>
      <c r="AQ124" s="43">
        <f t="shared" si="302"/>
        <v>0</v>
      </c>
      <c r="AR124" s="42">
        <f t="shared" si="271"/>
        <v>5</v>
      </c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</row>
    <row r="125" spans="2:108" s="50" customFormat="1" ht="24.95" customHeight="1">
      <c r="B125" s="37">
        <f t="shared" si="272"/>
        <v>0.64583333666666676</v>
      </c>
      <c r="C125" s="38" t="s">
        <v>9</v>
      </c>
      <c r="D125" s="47">
        <f t="shared" si="250"/>
        <v>0.68750000666666677</v>
      </c>
      <c r="E125" s="58">
        <f t="shared" si="251"/>
        <v>17</v>
      </c>
      <c r="F125" s="265">
        <f t="shared" ref="F125:G125" si="303">SUM(F39:F42)</f>
        <v>0</v>
      </c>
      <c r="G125" s="43">
        <f t="shared" si="303"/>
        <v>0</v>
      </c>
      <c r="H125" s="42">
        <f t="shared" si="253"/>
        <v>17</v>
      </c>
      <c r="I125" s="58">
        <f t="shared" ref="I125:K125" si="304">SUM(I39:I42)</f>
        <v>223</v>
      </c>
      <c r="J125" s="265">
        <f t="shared" si="304"/>
        <v>2</v>
      </c>
      <c r="K125" s="43">
        <f t="shared" si="304"/>
        <v>15</v>
      </c>
      <c r="L125" s="42">
        <f t="shared" si="255"/>
        <v>240</v>
      </c>
      <c r="M125" s="58">
        <f t="shared" ref="M125:O125" si="305">SUM(M39:M42)</f>
        <v>312</v>
      </c>
      <c r="N125" s="265">
        <f t="shared" si="305"/>
        <v>2</v>
      </c>
      <c r="O125" s="43">
        <f t="shared" si="305"/>
        <v>0</v>
      </c>
      <c r="P125" s="42">
        <f t="shared" si="257"/>
        <v>314</v>
      </c>
      <c r="Q125" s="58">
        <f t="shared" ref="Q125:S125" si="306">SUM(Q39:Q42)</f>
        <v>109</v>
      </c>
      <c r="R125" s="265">
        <f t="shared" si="306"/>
        <v>2</v>
      </c>
      <c r="S125" s="43">
        <f t="shared" si="306"/>
        <v>0</v>
      </c>
      <c r="T125" s="42">
        <f t="shared" si="259"/>
        <v>111</v>
      </c>
      <c r="U125" s="58">
        <f t="shared" ref="U125:W125" si="307">SUM(U39:U42)</f>
        <v>7</v>
      </c>
      <c r="V125" s="265">
        <f t="shared" si="307"/>
        <v>0</v>
      </c>
      <c r="W125" s="43">
        <f t="shared" si="307"/>
        <v>0</v>
      </c>
      <c r="X125" s="42">
        <f t="shared" si="261"/>
        <v>7</v>
      </c>
      <c r="Y125" s="58">
        <f t="shared" ref="Y125:AA125" si="308">SUM(Y39:Y42)</f>
        <v>66</v>
      </c>
      <c r="Z125" s="265">
        <f t="shared" si="308"/>
        <v>2</v>
      </c>
      <c r="AA125" s="43">
        <f t="shared" si="308"/>
        <v>0</v>
      </c>
      <c r="AB125" s="42">
        <f t="shared" si="263"/>
        <v>68</v>
      </c>
      <c r="AC125" s="58">
        <f t="shared" ref="AC125:AE125" si="309">SUM(AC39:AC42)</f>
        <v>37</v>
      </c>
      <c r="AD125" s="265">
        <f t="shared" si="309"/>
        <v>0</v>
      </c>
      <c r="AE125" s="43">
        <f t="shared" si="309"/>
        <v>0</v>
      </c>
      <c r="AF125" s="42">
        <f t="shared" si="265"/>
        <v>37</v>
      </c>
      <c r="AG125" s="58">
        <f t="shared" ref="AG125:AI125" si="310">SUM(AG39:AG42)</f>
        <v>130</v>
      </c>
      <c r="AH125" s="265">
        <f t="shared" si="310"/>
        <v>3</v>
      </c>
      <c r="AI125" s="43">
        <f t="shared" si="310"/>
        <v>0</v>
      </c>
      <c r="AJ125" s="42">
        <f t="shared" si="267"/>
        <v>133</v>
      </c>
      <c r="AK125" s="58">
        <f t="shared" ref="AK125:AM125" si="311">SUM(AK39:AK42)</f>
        <v>49</v>
      </c>
      <c r="AL125" s="265">
        <f t="shared" si="311"/>
        <v>0</v>
      </c>
      <c r="AM125" s="43">
        <f t="shared" si="311"/>
        <v>0</v>
      </c>
      <c r="AN125" s="42">
        <f t="shared" si="269"/>
        <v>49</v>
      </c>
      <c r="AO125" s="58">
        <f t="shared" ref="AO125:AQ125" si="312">SUM(AO39:AO42)</f>
        <v>3</v>
      </c>
      <c r="AP125" s="265">
        <f t="shared" si="312"/>
        <v>0</v>
      </c>
      <c r="AQ125" s="43">
        <f t="shared" si="312"/>
        <v>0</v>
      </c>
      <c r="AR125" s="42">
        <f t="shared" si="271"/>
        <v>3</v>
      </c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</row>
    <row r="126" spans="2:108" s="50" customFormat="1" ht="24.95" customHeight="1">
      <c r="B126" s="37">
        <f t="shared" si="272"/>
        <v>0.65625000416666679</v>
      </c>
      <c r="C126" s="38" t="s">
        <v>9</v>
      </c>
      <c r="D126" s="47">
        <f t="shared" ref="D126:D127" si="313">SUM(0.04166667)+B126</f>
        <v>0.69791667416666681</v>
      </c>
      <c r="E126" s="58">
        <f t="shared" si="251"/>
        <v>20</v>
      </c>
      <c r="F126" s="265">
        <f t="shared" ref="F126:G126" si="314">SUM(F40:F43)</f>
        <v>0</v>
      </c>
      <c r="G126" s="43">
        <f t="shared" si="314"/>
        <v>0</v>
      </c>
      <c r="H126" s="42">
        <f t="shared" si="253"/>
        <v>20</v>
      </c>
      <c r="I126" s="58">
        <f t="shared" ref="I126:K126" si="315">SUM(I40:I43)</f>
        <v>238</v>
      </c>
      <c r="J126" s="265">
        <f t="shared" si="315"/>
        <v>1</v>
      </c>
      <c r="K126" s="43">
        <f t="shared" si="315"/>
        <v>16</v>
      </c>
      <c r="L126" s="42">
        <f t="shared" si="255"/>
        <v>255</v>
      </c>
      <c r="M126" s="58">
        <f t="shared" ref="M126:O126" si="316">SUM(M40:M43)</f>
        <v>317</v>
      </c>
      <c r="N126" s="265">
        <f t="shared" si="316"/>
        <v>2</v>
      </c>
      <c r="O126" s="43">
        <f t="shared" si="316"/>
        <v>0</v>
      </c>
      <c r="P126" s="42">
        <f t="shared" si="257"/>
        <v>319</v>
      </c>
      <c r="Q126" s="58">
        <f t="shared" ref="Q126:S126" si="317">SUM(Q40:Q43)</f>
        <v>95</v>
      </c>
      <c r="R126" s="265">
        <f t="shared" si="317"/>
        <v>2</v>
      </c>
      <c r="S126" s="43">
        <f t="shared" si="317"/>
        <v>0</v>
      </c>
      <c r="T126" s="42">
        <f t="shared" si="259"/>
        <v>97</v>
      </c>
      <c r="U126" s="58">
        <f t="shared" ref="U126:W126" si="318">SUM(U40:U43)</f>
        <v>6</v>
      </c>
      <c r="V126" s="265">
        <f t="shared" si="318"/>
        <v>0</v>
      </c>
      <c r="W126" s="43">
        <f t="shared" si="318"/>
        <v>0</v>
      </c>
      <c r="X126" s="42">
        <f t="shared" si="261"/>
        <v>6</v>
      </c>
      <c r="Y126" s="58">
        <f t="shared" ref="Y126:AA126" si="319">SUM(Y40:Y43)</f>
        <v>75</v>
      </c>
      <c r="Z126" s="265">
        <f t="shared" si="319"/>
        <v>2</v>
      </c>
      <c r="AA126" s="43">
        <f t="shared" si="319"/>
        <v>0</v>
      </c>
      <c r="AB126" s="42">
        <f t="shared" si="263"/>
        <v>77</v>
      </c>
      <c r="AC126" s="58">
        <f t="shared" ref="AC126:AE126" si="320">SUM(AC40:AC43)</f>
        <v>40</v>
      </c>
      <c r="AD126" s="265">
        <f t="shared" si="320"/>
        <v>0</v>
      </c>
      <c r="AE126" s="43">
        <f t="shared" si="320"/>
        <v>0</v>
      </c>
      <c r="AF126" s="42">
        <f t="shared" si="265"/>
        <v>40</v>
      </c>
      <c r="AG126" s="58">
        <f t="shared" ref="AG126:AI126" si="321">SUM(AG40:AG43)</f>
        <v>111</v>
      </c>
      <c r="AH126" s="265">
        <f t="shared" si="321"/>
        <v>0</v>
      </c>
      <c r="AI126" s="43">
        <f t="shared" si="321"/>
        <v>0</v>
      </c>
      <c r="AJ126" s="42">
        <f t="shared" si="267"/>
        <v>111</v>
      </c>
      <c r="AK126" s="58">
        <f t="shared" ref="AK126:AM126" si="322">SUM(AK40:AK43)</f>
        <v>43</v>
      </c>
      <c r="AL126" s="265">
        <f t="shared" si="322"/>
        <v>0</v>
      </c>
      <c r="AM126" s="43">
        <f t="shared" si="322"/>
        <v>0</v>
      </c>
      <c r="AN126" s="42">
        <f t="shared" si="269"/>
        <v>43</v>
      </c>
      <c r="AO126" s="58">
        <f t="shared" ref="AO126:AQ126" si="323">SUM(AO40:AO43)</f>
        <v>5</v>
      </c>
      <c r="AP126" s="265">
        <f t="shared" si="323"/>
        <v>0</v>
      </c>
      <c r="AQ126" s="43">
        <f t="shared" si="323"/>
        <v>0</v>
      </c>
      <c r="AR126" s="42">
        <f t="shared" si="271"/>
        <v>5</v>
      </c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</row>
    <row r="127" spans="2:108" s="50" customFormat="1" ht="24.95" customHeight="1">
      <c r="B127" s="37">
        <f t="shared" si="272"/>
        <v>0.66666667166666682</v>
      </c>
      <c r="C127" s="38" t="s">
        <v>9</v>
      </c>
      <c r="D127" s="47">
        <f t="shared" si="313"/>
        <v>0.70833334166666684</v>
      </c>
      <c r="E127" s="58">
        <f t="shared" si="251"/>
        <v>20</v>
      </c>
      <c r="F127" s="265">
        <f t="shared" ref="F127:G127" si="324">SUM(F41:F44)</f>
        <v>0</v>
      </c>
      <c r="G127" s="43">
        <f t="shared" si="324"/>
        <v>0</v>
      </c>
      <c r="H127" s="42">
        <f t="shared" si="253"/>
        <v>20</v>
      </c>
      <c r="I127" s="58">
        <f t="shared" ref="I127:K127" si="325">SUM(I41:I44)</f>
        <v>264</v>
      </c>
      <c r="J127" s="265">
        <f t="shared" si="325"/>
        <v>1</v>
      </c>
      <c r="K127" s="43">
        <f t="shared" si="325"/>
        <v>14</v>
      </c>
      <c r="L127" s="42">
        <f t="shared" si="255"/>
        <v>279</v>
      </c>
      <c r="M127" s="58">
        <f t="shared" ref="M127:O127" si="326">SUM(M41:M44)</f>
        <v>330</v>
      </c>
      <c r="N127" s="265">
        <f t="shared" si="326"/>
        <v>0</v>
      </c>
      <c r="O127" s="43">
        <f t="shared" si="326"/>
        <v>0</v>
      </c>
      <c r="P127" s="42">
        <f t="shared" si="257"/>
        <v>330</v>
      </c>
      <c r="Q127" s="58">
        <f t="shared" ref="Q127:S127" si="327">SUM(Q41:Q44)</f>
        <v>87</v>
      </c>
      <c r="R127" s="265">
        <f t="shared" si="327"/>
        <v>2</v>
      </c>
      <c r="S127" s="43">
        <f t="shared" si="327"/>
        <v>0</v>
      </c>
      <c r="T127" s="42">
        <f t="shared" si="259"/>
        <v>89</v>
      </c>
      <c r="U127" s="58">
        <f t="shared" ref="U127:W127" si="328">SUM(U41:U44)</f>
        <v>9</v>
      </c>
      <c r="V127" s="265">
        <f t="shared" si="328"/>
        <v>0</v>
      </c>
      <c r="W127" s="43">
        <f t="shared" si="328"/>
        <v>0</v>
      </c>
      <c r="X127" s="42">
        <f t="shared" si="261"/>
        <v>9</v>
      </c>
      <c r="Y127" s="58">
        <f t="shared" ref="Y127:AA127" si="329">SUM(Y41:Y44)</f>
        <v>83</v>
      </c>
      <c r="Z127" s="265">
        <f t="shared" si="329"/>
        <v>2</v>
      </c>
      <c r="AA127" s="43">
        <f t="shared" si="329"/>
        <v>0</v>
      </c>
      <c r="AB127" s="42">
        <f t="shared" si="263"/>
        <v>85</v>
      </c>
      <c r="AC127" s="58">
        <f t="shared" ref="AC127:AE127" si="330">SUM(AC41:AC44)</f>
        <v>36</v>
      </c>
      <c r="AD127" s="265">
        <f t="shared" si="330"/>
        <v>0</v>
      </c>
      <c r="AE127" s="43">
        <f t="shared" si="330"/>
        <v>0</v>
      </c>
      <c r="AF127" s="42">
        <f t="shared" si="265"/>
        <v>36</v>
      </c>
      <c r="AG127" s="58">
        <f t="shared" ref="AG127:AI127" si="331">SUM(AG41:AG44)</f>
        <v>136</v>
      </c>
      <c r="AH127" s="265">
        <f t="shared" si="331"/>
        <v>1</v>
      </c>
      <c r="AI127" s="43">
        <f t="shared" si="331"/>
        <v>0</v>
      </c>
      <c r="AJ127" s="42">
        <f t="shared" si="267"/>
        <v>137</v>
      </c>
      <c r="AK127" s="58">
        <f t="shared" ref="AK127:AM127" si="332">SUM(AK41:AK44)</f>
        <v>37</v>
      </c>
      <c r="AL127" s="265">
        <f t="shared" si="332"/>
        <v>0</v>
      </c>
      <c r="AM127" s="43">
        <f t="shared" si="332"/>
        <v>0</v>
      </c>
      <c r="AN127" s="42">
        <f t="shared" si="269"/>
        <v>37</v>
      </c>
      <c r="AO127" s="58">
        <f t="shared" ref="AO127:AQ127" si="333">SUM(AO41:AO44)</f>
        <v>7</v>
      </c>
      <c r="AP127" s="265">
        <f t="shared" si="333"/>
        <v>0</v>
      </c>
      <c r="AQ127" s="43">
        <f t="shared" si="333"/>
        <v>0</v>
      </c>
      <c r="AR127" s="42">
        <f t="shared" si="271"/>
        <v>7</v>
      </c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60" t="s">
        <v>32</v>
      </c>
      <c r="BR127" s="60" t="s">
        <v>33</v>
      </c>
      <c r="BV127" s="61">
        <v>1</v>
      </c>
      <c r="BW127" s="61">
        <v>2</v>
      </c>
      <c r="BX127" s="61">
        <v>3</v>
      </c>
      <c r="BY127" s="61">
        <v>4</v>
      </c>
      <c r="BZ127" s="62" t="s">
        <v>84</v>
      </c>
      <c r="CA127" s="252">
        <v>5</v>
      </c>
      <c r="CB127" s="61">
        <v>6</v>
      </c>
      <c r="CC127" s="61">
        <v>7</v>
      </c>
      <c r="CD127" s="61">
        <v>8</v>
      </c>
      <c r="CE127" s="62" t="s">
        <v>85</v>
      </c>
      <c r="CF127" s="252">
        <v>9</v>
      </c>
      <c r="CG127" s="61">
        <v>10</v>
      </c>
      <c r="CH127" s="61">
        <v>11</v>
      </c>
      <c r="CI127" s="61">
        <v>12</v>
      </c>
      <c r="CJ127" s="62" t="s">
        <v>86</v>
      </c>
      <c r="CK127" s="252">
        <v>13</v>
      </c>
      <c r="CL127" s="61">
        <v>14</v>
      </c>
      <c r="CM127" s="61">
        <v>15</v>
      </c>
      <c r="CN127" s="61">
        <v>16</v>
      </c>
      <c r="CO127" s="62" t="s">
        <v>87</v>
      </c>
      <c r="CP127" s="252">
        <v>17</v>
      </c>
      <c r="CQ127" s="61">
        <v>18</v>
      </c>
      <c r="CR127" s="61">
        <v>19</v>
      </c>
      <c r="CS127" s="61">
        <v>20</v>
      </c>
      <c r="CT127" s="62" t="s">
        <v>88</v>
      </c>
      <c r="CU127" s="63" t="s">
        <v>73</v>
      </c>
      <c r="CV127" s="64" t="s">
        <v>74</v>
      </c>
      <c r="CW127" s="74" t="s">
        <v>96</v>
      </c>
      <c r="CX127" s="74" t="s">
        <v>95</v>
      </c>
      <c r="CY127" s="65" t="s">
        <v>93</v>
      </c>
      <c r="CZ127" s="66" t="s">
        <v>94</v>
      </c>
      <c r="DA127" s="67" t="s">
        <v>75</v>
      </c>
      <c r="DB127" s="67" t="s">
        <v>76</v>
      </c>
      <c r="DC127" s="68" t="s">
        <v>77</v>
      </c>
      <c r="DD127" s="69" t="s">
        <v>78</v>
      </c>
    </row>
    <row r="128" spans="2:108" s="50" customFormat="1" ht="24.95" customHeight="1">
      <c r="B128" s="37">
        <f t="shared" si="272"/>
        <v>0.67708333916666685</v>
      </c>
      <c r="C128" s="38" t="s">
        <v>9</v>
      </c>
      <c r="D128" s="47">
        <f t="shared" ref="D128:D133" si="334">SUM(0.04166667)+B128</f>
        <v>0.71875000916666687</v>
      </c>
      <c r="E128" s="58">
        <f t="shared" ref="E128" si="335">SUM(E42:E45)</f>
        <v>24</v>
      </c>
      <c r="F128" s="265">
        <f t="shared" ref="F128:G128" si="336">SUM(F42:F45)</f>
        <v>0</v>
      </c>
      <c r="G128" s="43">
        <f t="shared" si="336"/>
        <v>0</v>
      </c>
      <c r="H128" s="42">
        <f t="shared" ref="H128:H133" si="337">SUM(E128:G128)</f>
        <v>24</v>
      </c>
      <c r="I128" s="58">
        <f t="shared" ref="I128:K128" si="338">SUM(I42:I45)</f>
        <v>274</v>
      </c>
      <c r="J128" s="265">
        <f t="shared" si="338"/>
        <v>0</v>
      </c>
      <c r="K128" s="43">
        <f t="shared" si="338"/>
        <v>14</v>
      </c>
      <c r="L128" s="42">
        <f t="shared" ref="L128:L133" si="339">SUM(I128:K128)</f>
        <v>288</v>
      </c>
      <c r="M128" s="58">
        <f t="shared" ref="M128:O128" si="340">SUM(M42:M45)</f>
        <v>330</v>
      </c>
      <c r="N128" s="265">
        <f t="shared" si="340"/>
        <v>0</v>
      </c>
      <c r="O128" s="43">
        <f t="shared" si="340"/>
        <v>0</v>
      </c>
      <c r="P128" s="42">
        <f t="shared" ref="P128:P133" si="341">SUM(M128:O128)</f>
        <v>330</v>
      </c>
      <c r="Q128" s="58">
        <f t="shared" ref="Q128:S128" si="342">SUM(Q42:Q45)</f>
        <v>102</v>
      </c>
      <c r="R128" s="265">
        <f t="shared" si="342"/>
        <v>1</v>
      </c>
      <c r="S128" s="43">
        <f t="shared" si="342"/>
        <v>0</v>
      </c>
      <c r="T128" s="42">
        <f t="shared" si="259"/>
        <v>103</v>
      </c>
      <c r="U128" s="58">
        <f t="shared" ref="U128:W128" si="343">SUM(U42:U45)</f>
        <v>12</v>
      </c>
      <c r="V128" s="265">
        <f t="shared" si="343"/>
        <v>0</v>
      </c>
      <c r="W128" s="43">
        <f t="shared" si="343"/>
        <v>0</v>
      </c>
      <c r="X128" s="42">
        <f t="shared" ref="X128:X133" si="344">SUM(U128:W128)</f>
        <v>12</v>
      </c>
      <c r="Y128" s="58">
        <f t="shared" ref="Y128:AA128" si="345">SUM(Y42:Y45)</f>
        <v>99</v>
      </c>
      <c r="Z128" s="265">
        <f t="shared" si="345"/>
        <v>0</v>
      </c>
      <c r="AA128" s="43">
        <f t="shared" si="345"/>
        <v>0</v>
      </c>
      <c r="AB128" s="42">
        <f t="shared" ref="AB128:AB133" si="346">SUM(Y128:AA128)</f>
        <v>99</v>
      </c>
      <c r="AC128" s="58">
        <f t="shared" ref="AC128:AE128" si="347">SUM(AC42:AC45)</f>
        <v>35</v>
      </c>
      <c r="AD128" s="265">
        <f t="shared" si="347"/>
        <v>0</v>
      </c>
      <c r="AE128" s="43">
        <f t="shared" si="347"/>
        <v>0</v>
      </c>
      <c r="AF128" s="42">
        <f t="shared" ref="AF128:AF133" si="348">SUM(AC128:AE128)</f>
        <v>35</v>
      </c>
      <c r="AG128" s="58">
        <f t="shared" ref="AG128:AI128" si="349">SUM(AG42:AG45)</f>
        <v>148</v>
      </c>
      <c r="AH128" s="265">
        <f t="shared" si="349"/>
        <v>2</v>
      </c>
      <c r="AI128" s="43">
        <f t="shared" si="349"/>
        <v>0</v>
      </c>
      <c r="AJ128" s="42">
        <f t="shared" ref="AJ128:AJ133" si="350">SUM(AG128:AI128)</f>
        <v>150</v>
      </c>
      <c r="AK128" s="58">
        <f t="shared" ref="AK128:AM128" si="351">SUM(AK42:AK45)</f>
        <v>42</v>
      </c>
      <c r="AL128" s="265">
        <f t="shared" si="351"/>
        <v>0</v>
      </c>
      <c r="AM128" s="43">
        <f t="shared" si="351"/>
        <v>0</v>
      </c>
      <c r="AN128" s="42">
        <f t="shared" si="269"/>
        <v>42</v>
      </c>
      <c r="AO128" s="58">
        <f t="shared" ref="AO128:AQ128" si="352">SUM(AO42:AO45)</f>
        <v>4</v>
      </c>
      <c r="AP128" s="265">
        <f t="shared" si="352"/>
        <v>0</v>
      </c>
      <c r="AQ128" s="43">
        <f t="shared" si="352"/>
        <v>0</v>
      </c>
      <c r="AR128" s="42">
        <f t="shared" ref="AR128:AR133" si="353">SUM(AO128:AQ128)</f>
        <v>4</v>
      </c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88">
        <v>28</v>
      </c>
      <c r="BR128" s="88">
        <v>4</v>
      </c>
      <c r="BV128" s="61">
        <f ca="1">OFFSET(D$106,BQ128,$BR$128)</f>
        <v>67</v>
      </c>
      <c r="BW128" s="61">
        <f ca="1">OFFSET(H$106,$BQ$128,$BR$128)</f>
        <v>1034</v>
      </c>
      <c r="BX128" s="61">
        <f ca="1">OFFSET(L$106,$BQ$128,$BR$128)</f>
        <v>1211</v>
      </c>
      <c r="BY128" s="61">
        <f ca="1">OFFSET(P$106,$BQ$128,$BR$128)</f>
        <v>436</v>
      </c>
      <c r="BZ128" s="62">
        <f ca="1">OFFSET(T$106,$BQ$128,$BR$128)</f>
        <v>39</v>
      </c>
      <c r="CA128" s="252">
        <f ca="1">OFFSET(X$106,$BQ$128,$BR$128)</f>
        <v>344</v>
      </c>
      <c r="CB128" s="61">
        <f ca="1">OFFSET(AB$106,$BQ$128,$BR$128)</f>
        <v>144</v>
      </c>
      <c r="CC128" s="61">
        <f ca="1">OFFSET(AF$106,$BQ$128,$BR$128)</f>
        <v>619</v>
      </c>
      <c r="CD128" s="61">
        <f ca="1">OFFSET(AJ$106,$BQ$128,$BR$128)</f>
        <v>182</v>
      </c>
      <c r="CE128" s="62">
        <f ca="1">OFFSET(AN$106,$BQ$128,$BR$128)</f>
        <v>18</v>
      </c>
      <c r="CF128" s="252">
        <f ca="1">OFFSET(D$138,$BQ$128,$BR$128)</f>
        <v>312</v>
      </c>
      <c r="CG128" s="61">
        <f ca="1">OFFSET(H$138,$BQ$128,$BR$128)</f>
        <v>2071</v>
      </c>
      <c r="CH128" s="61">
        <f ca="1">OFFSET(L$138,$BQ$128,$BR$128)</f>
        <v>123</v>
      </c>
      <c r="CI128" s="61">
        <f ca="1">OFFSET(P$138,$BQ$128,$BR$128)</f>
        <v>156</v>
      </c>
      <c r="CJ128" s="62">
        <f ca="1">OFFSET(T$138,$BQ$128,$BR$128)</f>
        <v>10</v>
      </c>
      <c r="CK128" s="252">
        <f ca="1">OFFSET(X$138,$BQ$128,$BR$128)</f>
        <v>149</v>
      </c>
      <c r="CL128" s="61">
        <f ca="1">OFFSET(AB$138,$BQ$128,$BR$128)</f>
        <v>903</v>
      </c>
      <c r="CM128" s="61">
        <f ca="1">OFFSET(AF$138,$BQ$128,$BR$128)</f>
        <v>1316</v>
      </c>
      <c r="CN128" s="61">
        <f ca="1">OFFSET(AJ$138,$BQ$128,$BR$128)</f>
        <v>163</v>
      </c>
      <c r="CO128" s="62">
        <f ca="1">OFFSET(AN$138,$BQ$128,$BR$128)</f>
        <v>42</v>
      </c>
      <c r="CP128" s="252">
        <f ca="1">OFFSET(AR$138,$BQ$128,$BR$128)</f>
        <v>139</v>
      </c>
      <c r="CQ128" s="61">
        <f ca="1">OFFSET(AV$138,$BQ$128,$BR$128)</f>
        <v>80</v>
      </c>
      <c r="CR128" s="61">
        <f ca="1">OFFSET(AZ$138,$BQ$128,$BR$128)</f>
        <v>107</v>
      </c>
      <c r="CS128" s="61">
        <f ca="1">OFFSET(BD$138,$BQ$128,$BR$128)</f>
        <v>110</v>
      </c>
      <c r="CT128" s="62">
        <f ca="1">OFFSET(BH$138,$BQ$128,$BR$128)</f>
        <v>1</v>
      </c>
      <c r="CU128" s="253">
        <f t="shared" ref="CU128:DD128" ca="1" si="354">OFFSET(AR$106,$BQ$128,1)</f>
        <v>0</v>
      </c>
      <c r="CV128" s="71">
        <f t="shared" ca="1" si="354"/>
        <v>0</v>
      </c>
      <c r="CW128" s="71">
        <f t="shared" ca="1" si="354"/>
        <v>0</v>
      </c>
      <c r="CX128" s="71">
        <f t="shared" ca="1" si="354"/>
        <v>0</v>
      </c>
      <c r="CY128" s="71">
        <f t="shared" ca="1" si="354"/>
        <v>0</v>
      </c>
      <c r="CZ128" s="71">
        <f t="shared" ca="1" si="354"/>
        <v>0</v>
      </c>
      <c r="DA128" s="71">
        <f t="shared" ca="1" si="354"/>
        <v>0</v>
      </c>
      <c r="DB128" s="71">
        <f t="shared" ca="1" si="354"/>
        <v>0</v>
      </c>
      <c r="DC128" s="71">
        <f t="shared" ca="1" si="354"/>
        <v>0</v>
      </c>
      <c r="DD128" s="71">
        <f t="shared" ca="1" si="354"/>
        <v>0</v>
      </c>
    </row>
    <row r="129" spans="2:108" s="50" customFormat="1" ht="24.95" customHeight="1">
      <c r="B129" s="37">
        <f t="shared" si="272"/>
        <v>0.68750000666666689</v>
      </c>
      <c r="C129" s="38" t="s">
        <v>9</v>
      </c>
      <c r="D129" s="47">
        <f t="shared" si="334"/>
        <v>0.7291666766666669</v>
      </c>
      <c r="E129" s="58">
        <f>SUM(E43:E46)</f>
        <v>21</v>
      </c>
      <c r="F129" s="265">
        <f>SUM(F43:F46)</f>
        <v>0</v>
      </c>
      <c r="G129" s="43">
        <f>SUM(G43:G46)</f>
        <v>0</v>
      </c>
      <c r="H129" s="42">
        <f t="shared" si="337"/>
        <v>21</v>
      </c>
      <c r="I129" s="58">
        <f>SUM(I43:I46)</f>
        <v>277</v>
      </c>
      <c r="J129" s="265">
        <f>SUM(J43:J46)</f>
        <v>0</v>
      </c>
      <c r="K129" s="43">
        <f>SUM(K43:K46)</f>
        <v>16</v>
      </c>
      <c r="L129" s="42">
        <f t="shared" si="339"/>
        <v>293</v>
      </c>
      <c r="M129" s="58">
        <f>SUM(M43:M46)</f>
        <v>333</v>
      </c>
      <c r="N129" s="265">
        <f>SUM(N43:N46)</f>
        <v>0</v>
      </c>
      <c r="O129" s="43">
        <f>SUM(O43:O46)</f>
        <v>0</v>
      </c>
      <c r="P129" s="42">
        <f t="shared" si="341"/>
        <v>333</v>
      </c>
      <c r="Q129" s="58">
        <f>SUM(Q43:Q46)</f>
        <v>103</v>
      </c>
      <c r="R129" s="265">
        <f>SUM(R43:R46)</f>
        <v>0</v>
      </c>
      <c r="S129" s="43">
        <f>SUM(S43:S46)</f>
        <v>0</v>
      </c>
      <c r="T129" s="42">
        <f t="shared" si="259"/>
        <v>103</v>
      </c>
      <c r="U129" s="58">
        <f>SUM(U43:U46)</f>
        <v>11</v>
      </c>
      <c r="V129" s="265">
        <f>SUM(V43:V46)</f>
        <v>0</v>
      </c>
      <c r="W129" s="43">
        <f>SUM(W43:W46)</f>
        <v>0</v>
      </c>
      <c r="X129" s="42">
        <f t="shared" si="344"/>
        <v>11</v>
      </c>
      <c r="Y129" s="58">
        <f>SUM(Y43:Y46)</f>
        <v>107</v>
      </c>
      <c r="Z129" s="265">
        <f>SUM(Z43:Z46)</f>
        <v>0</v>
      </c>
      <c r="AA129" s="43">
        <f>SUM(AA43:AA46)</f>
        <v>0</v>
      </c>
      <c r="AB129" s="42">
        <f t="shared" si="346"/>
        <v>107</v>
      </c>
      <c r="AC129" s="58">
        <f>SUM(AC43:AC46)</f>
        <v>38</v>
      </c>
      <c r="AD129" s="265">
        <f>SUM(AD43:AD46)</f>
        <v>0</v>
      </c>
      <c r="AE129" s="43">
        <f>SUM(AE43:AE46)</f>
        <v>0</v>
      </c>
      <c r="AF129" s="42">
        <f t="shared" si="348"/>
        <v>38</v>
      </c>
      <c r="AG129" s="58">
        <f>SUM(AG43:AG46)</f>
        <v>157</v>
      </c>
      <c r="AH129" s="265">
        <f>SUM(AH43:AH46)</f>
        <v>2</v>
      </c>
      <c r="AI129" s="43">
        <f>SUM(AI43:AI46)</f>
        <v>0</v>
      </c>
      <c r="AJ129" s="42">
        <f t="shared" si="350"/>
        <v>159</v>
      </c>
      <c r="AK129" s="58">
        <f>SUM(AK43:AK46)</f>
        <v>42</v>
      </c>
      <c r="AL129" s="265">
        <f>SUM(AL43:AL46)</f>
        <v>0</v>
      </c>
      <c r="AM129" s="43">
        <f>SUM(AM43:AM46)</f>
        <v>0</v>
      </c>
      <c r="AN129" s="42">
        <f t="shared" si="269"/>
        <v>42</v>
      </c>
      <c r="AO129" s="58">
        <f>SUM(AO43:AO46)</f>
        <v>4</v>
      </c>
      <c r="AP129" s="265">
        <f>SUM(AP43:AP46)</f>
        <v>0</v>
      </c>
      <c r="AQ129" s="43">
        <f>SUM(AQ43:AQ46)</f>
        <v>0</v>
      </c>
      <c r="AR129" s="42">
        <f t="shared" si="353"/>
        <v>4</v>
      </c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V129" s="72" t="s">
        <v>36</v>
      </c>
      <c r="BW129" s="72" t="s">
        <v>37</v>
      </c>
      <c r="BX129" s="72" t="s">
        <v>38</v>
      </c>
      <c r="BY129" s="72" t="s">
        <v>39</v>
      </c>
      <c r="BZ129" s="72" t="s">
        <v>37</v>
      </c>
      <c r="CA129" s="72" t="s">
        <v>36</v>
      </c>
      <c r="CB129" s="72" t="s">
        <v>37</v>
      </c>
      <c r="CC129" s="72" t="s">
        <v>36</v>
      </c>
      <c r="CD129" s="72" t="s">
        <v>39</v>
      </c>
      <c r="CE129" s="72" t="s">
        <v>38</v>
      </c>
    </row>
    <row r="130" spans="2:108" s="50" customFormat="1" ht="24.95" customHeight="1">
      <c r="B130" s="37">
        <f t="shared" si="272"/>
        <v>0.69791667416666692</v>
      </c>
      <c r="C130" s="38" t="s">
        <v>9</v>
      </c>
      <c r="D130" s="47">
        <f t="shared" si="334"/>
        <v>0.73958334416666693</v>
      </c>
      <c r="E130" s="58">
        <f t="shared" ref="E130" si="355">SUM(E44:E47)</f>
        <v>15</v>
      </c>
      <c r="F130" s="265">
        <f t="shared" ref="F130:G130" si="356">SUM(F44:F47)</f>
        <v>0</v>
      </c>
      <c r="G130" s="43">
        <f t="shared" si="356"/>
        <v>0</v>
      </c>
      <c r="H130" s="42">
        <f t="shared" si="337"/>
        <v>15</v>
      </c>
      <c r="I130" s="58">
        <f t="shared" ref="I130:K130" si="357">SUM(I44:I47)</f>
        <v>244</v>
      </c>
      <c r="J130" s="265">
        <f t="shared" si="357"/>
        <v>1</v>
      </c>
      <c r="K130" s="43">
        <f t="shared" si="357"/>
        <v>16</v>
      </c>
      <c r="L130" s="42">
        <f t="shared" si="339"/>
        <v>261</v>
      </c>
      <c r="M130" s="58">
        <f t="shared" ref="M130:O130" si="358">SUM(M44:M47)</f>
        <v>308</v>
      </c>
      <c r="N130" s="265">
        <f t="shared" si="358"/>
        <v>1</v>
      </c>
      <c r="O130" s="43">
        <f t="shared" si="358"/>
        <v>0</v>
      </c>
      <c r="P130" s="42">
        <f t="shared" si="341"/>
        <v>309</v>
      </c>
      <c r="Q130" s="58">
        <f t="shared" ref="Q130:S130" si="359">SUM(Q44:Q47)</f>
        <v>103</v>
      </c>
      <c r="R130" s="265">
        <f t="shared" si="359"/>
        <v>0</v>
      </c>
      <c r="S130" s="43">
        <f t="shared" si="359"/>
        <v>0</v>
      </c>
      <c r="T130" s="42">
        <f t="shared" si="259"/>
        <v>103</v>
      </c>
      <c r="U130" s="58">
        <f t="shared" ref="U130:W130" si="360">SUM(U44:U47)</f>
        <v>14</v>
      </c>
      <c r="V130" s="265">
        <f t="shared" si="360"/>
        <v>0</v>
      </c>
      <c r="W130" s="43">
        <f t="shared" si="360"/>
        <v>0</v>
      </c>
      <c r="X130" s="42">
        <f t="shared" si="344"/>
        <v>14</v>
      </c>
      <c r="Y130" s="58">
        <f t="shared" ref="Y130:AA130" si="361">SUM(Y44:Y47)</f>
        <v>102</v>
      </c>
      <c r="Z130" s="265">
        <f t="shared" si="361"/>
        <v>1</v>
      </c>
      <c r="AA130" s="43">
        <f t="shared" si="361"/>
        <v>0</v>
      </c>
      <c r="AB130" s="42">
        <f t="shared" si="346"/>
        <v>103</v>
      </c>
      <c r="AC130" s="58">
        <f t="shared" ref="AC130:AE130" si="362">SUM(AC44:AC47)</f>
        <v>41</v>
      </c>
      <c r="AD130" s="265">
        <f t="shared" si="362"/>
        <v>0</v>
      </c>
      <c r="AE130" s="43">
        <f t="shared" si="362"/>
        <v>0</v>
      </c>
      <c r="AF130" s="42">
        <f t="shared" si="348"/>
        <v>41</v>
      </c>
      <c r="AG130" s="58">
        <f t="shared" ref="AG130:AI130" si="363">SUM(AG44:AG47)</f>
        <v>161</v>
      </c>
      <c r="AH130" s="265">
        <f t="shared" si="363"/>
        <v>2</v>
      </c>
      <c r="AI130" s="43">
        <f t="shared" si="363"/>
        <v>0</v>
      </c>
      <c r="AJ130" s="42">
        <f t="shared" si="350"/>
        <v>163</v>
      </c>
      <c r="AK130" s="58">
        <f t="shared" ref="AK130:AM130" si="364">SUM(AK44:AK47)</f>
        <v>43</v>
      </c>
      <c r="AL130" s="265">
        <f t="shared" si="364"/>
        <v>0</v>
      </c>
      <c r="AM130" s="43">
        <f t="shared" si="364"/>
        <v>0</v>
      </c>
      <c r="AN130" s="42">
        <f t="shared" si="269"/>
        <v>43</v>
      </c>
      <c r="AO130" s="58">
        <f t="shared" ref="AO130:AQ130" si="365">SUM(AO44:AO47)</f>
        <v>3</v>
      </c>
      <c r="AP130" s="265">
        <f t="shared" si="365"/>
        <v>0</v>
      </c>
      <c r="AQ130" s="43">
        <f t="shared" si="365"/>
        <v>0</v>
      </c>
      <c r="AR130" s="42">
        <f t="shared" si="353"/>
        <v>3</v>
      </c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V130" s="73" t="s">
        <v>14</v>
      </c>
      <c r="BW130" s="73" t="s">
        <v>27</v>
      </c>
      <c r="BX130" s="74" t="s">
        <v>96</v>
      </c>
      <c r="BY130" s="74" t="s">
        <v>95</v>
      </c>
      <c r="BZ130" s="65" t="s">
        <v>93</v>
      </c>
      <c r="CA130" s="66" t="s">
        <v>94</v>
      </c>
      <c r="CB130" s="75" t="s">
        <v>34</v>
      </c>
      <c r="CC130" s="75" t="s">
        <v>35</v>
      </c>
      <c r="CD130" s="76" t="s">
        <v>67</v>
      </c>
      <c r="CE130" s="76" t="s">
        <v>68</v>
      </c>
    </row>
    <row r="131" spans="2:108" s="50" customFormat="1" ht="24.95" customHeight="1" thickBot="1">
      <c r="B131" s="37">
        <f t="shared" si="272"/>
        <v>0.70833334166666695</v>
      </c>
      <c r="C131" s="38" t="s">
        <v>9</v>
      </c>
      <c r="D131" s="47">
        <f t="shared" si="334"/>
        <v>0.75000001166666697</v>
      </c>
      <c r="E131" s="58">
        <f t="shared" ref="E131" si="366">SUM(E45:E48)</f>
        <v>14</v>
      </c>
      <c r="F131" s="265">
        <f t="shared" ref="F131:G131" si="367">SUM(F45:F48)</f>
        <v>0</v>
      </c>
      <c r="G131" s="43">
        <f t="shared" si="367"/>
        <v>0</v>
      </c>
      <c r="H131" s="42">
        <f t="shared" si="337"/>
        <v>14</v>
      </c>
      <c r="I131" s="58">
        <f t="shared" ref="I131:K131" si="368">SUM(I45:I48)</f>
        <v>242</v>
      </c>
      <c r="J131" s="265">
        <f t="shared" si="368"/>
        <v>1</v>
      </c>
      <c r="K131" s="43">
        <f t="shared" si="368"/>
        <v>18</v>
      </c>
      <c r="L131" s="42">
        <f t="shared" si="339"/>
        <v>261</v>
      </c>
      <c r="M131" s="58">
        <f t="shared" ref="M131:O131" si="369">SUM(M45:M48)</f>
        <v>298</v>
      </c>
      <c r="N131" s="265">
        <f t="shared" si="369"/>
        <v>1</v>
      </c>
      <c r="O131" s="43">
        <f t="shared" si="369"/>
        <v>0</v>
      </c>
      <c r="P131" s="42">
        <f t="shared" si="341"/>
        <v>299</v>
      </c>
      <c r="Q131" s="58">
        <f t="shared" ref="Q131:S131" si="370">SUM(Q45:Q48)</f>
        <v>108</v>
      </c>
      <c r="R131" s="265">
        <f t="shared" si="370"/>
        <v>0</v>
      </c>
      <c r="S131" s="43">
        <f t="shared" si="370"/>
        <v>0</v>
      </c>
      <c r="T131" s="42">
        <f t="shared" si="259"/>
        <v>108</v>
      </c>
      <c r="U131" s="58">
        <f t="shared" ref="U131:W131" si="371">SUM(U45:U48)</f>
        <v>11</v>
      </c>
      <c r="V131" s="265">
        <f t="shared" si="371"/>
        <v>0</v>
      </c>
      <c r="W131" s="43">
        <f t="shared" si="371"/>
        <v>0</v>
      </c>
      <c r="X131" s="42">
        <f t="shared" si="344"/>
        <v>11</v>
      </c>
      <c r="Y131" s="58">
        <f t="shared" ref="Y131:AA131" si="372">SUM(Y45:Y48)</f>
        <v>105</v>
      </c>
      <c r="Z131" s="265">
        <f t="shared" si="372"/>
        <v>1</v>
      </c>
      <c r="AA131" s="43">
        <f t="shared" si="372"/>
        <v>0</v>
      </c>
      <c r="AB131" s="42">
        <f t="shared" si="346"/>
        <v>106</v>
      </c>
      <c r="AC131" s="58">
        <f t="shared" ref="AC131:AE131" si="373">SUM(AC45:AC48)</f>
        <v>36</v>
      </c>
      <c r="AD131" s="265">
        <f t="shared" si="373"/>
        <v>0</v>
      </c>
      <c r="AE131" s="43">
        <f t="shared" si="373"/>
        <v>0</v>
      </c>
      <c r="AF131" s="42">
        <f t="shared" si="348"/>
        <v>36</v>
      </c>
      <c r="AG131" s="58">
        <f t="shared" ref="AG131:AI131" si="374">SUM(AG45:AG48)</f>
        <v>143</v>
      </c>
      <c r="AH131" s="265">
        <f t="shared" si="374"/>
        <v>2</v>
      </c>
      <c r="AI131" s="43">
        <f t="shared" si="374"/>
        <v>0</v>
      </c>
      <c r="AJ131" s="42">
        <f t="shared" si="350"/>
        <v>145</v>
      </c>
      <c r="AK131" s="58">
        <f t="shared" ref="AK131:AM131" si="375">SUM(AK45:AK48)</f>
        <v>37</v>
      </c>
      <c r="AL131" s="265">
        <f t="shared" si="375"/>
        <v>0</v>
      </c>
      <c r="AM131" s="43">
        <f t="shared" si="375"/>
        <v>0</v>
      </c>
      <c r="AN131" s="42">
        <f t="shared" si="269"/>
        <v>37</v>
      </c>
      <c r="AO131" s="58">
        <f t="shared" ref="AO131:AQ131" si="376">SUM(AO45:AO48)</f>
        <v>1</v>
      </c>
      <c r="AP131" s="265">
        <f t="shared" si="376"/>
        <v>0</v>
      </c>
      <c r="AQ131" s="43">
        <f t="shared" si="376"/>
        <v>0</v>
      </c>
      <c r="AR131" s="42">
        <f t="shared" si="353"/>
        <v>1</v>
      </c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V131" s="77">
        <f ca="1">SUM(BV128:BZ128)</f>
        <v>2787</v>
      </c>
      <c r="BW131" s="77">
        <f ca="1">SUM(BZ128:CA128,CG128,CM128,CS128)</f>
        <v>3880</v>
      </c>
      <c r="BX131" s="77">
        <f ca="1">SUM(CA128:CE128)</f>
        <v>1307</v>
      </c>
      <c r="BY131" s="77">
        <f ca="1">SUM(BY128,CE128:CF128,CL128,CR128)</f>
        <v>1776</v>
      </c>
      <c r="BZ131" s="77">
        <f ca="1">SUM(CF128:CJ128)</f>
        <v>2672</v>
      </c>
      <c r="CA131" s="77">
        <f ca="1">SUM(BX128,CD128,CJ128:CK128,CQ128)</f>
        <v>1632</v>
      </c>
      <c r="CB131" s="77">
        <f ca="1">SUM(CK128:CO128)</f>
        <v>2573</v>
      </c>
      <c r="CC131" s="77">
        <f ca="1">SUM(BW128,CC128,CI128,CO128:CP128)</f>
        <v>1990</v>
      </c>
      <c r="CD131" s="77">
        <f ca="1">SUM(CP128:CT128)</f>
        <v>437</v>
      </c>
      <c r="CE131" s="77">
        <f ca="1">SUM(BV128,CB128,CH128,CN128,CT128)</f>
        <v>498</v>
      </c>
    </row>
    <row r="132" spans="2:108" s="50" customFormat="1" ht="24.95" customHeight="1">
      <c r="B132" s="37">
        <f t="shared" si="272"/>
        <v>0.71875000916666698</v>
      </c>
      <c r="C132" s="38" t="s">
        <v>9</v>
      </c>
      <c r="D132" s="47">
        <f t="shared" si="334"/>
        <v>0.760416679166667</v>
      </c>
      <c r="E132" s="58">
        <f t="shared" ref="E132" si="377">SUM(E46:E49)</f>
        <v>13</v>
      </c>
      <c r="F132" s="265">
        <f t="shared" ref="F132:G132" si="378">SUM(F46:F49)</f>
        <v>0</v>
      </c>
      <c r="G132" s="43">
        <f t="shared" si="378"/>
        <v>0</v>
      </c>
      <c r="H132" s="42">
        <f t="shared" si="337"/>
        <v>13</v>
      </c>
      <c r="I132" s="58">
        <f t="shared" ref="I132:K132" si="379">SUM(I46:I49)</f>
        <v>242</v>
      </c>
      <c r="J132" s="265">
        <f t="shared" si="379"/>
        <v>1</v>
      </c>
      <c r="K132" s="43">
        <f t="shared" si="379"/>
        <v>17</v>
      </c>
      <c r="L132" s="42">
        <f t="shared" si="339"/>
        <v>260</v>
      </c>
      <c r="M132" s="58">
        <f t="shared" ref="M132:O132" si="380">SUM(M46:M49)</f>
        <v>281</v>
      </c>
      <c r="N132" s="265">
        <f t="shared" si="380"/>
        <v>1</v>
      </c>
      <c r="O132" s="43">
        <f t="shared" si="380"/>
        <v>0</v>
      </c>
      <c r="P132" s="42">
        <f t="shared" si="341"/>
        <v>282</v>
      </c>
      <c r="Q132" s="58">
        <f t="shared" ref="Q132:S132" si="381">SUM(Q46:Q49)</f>
        <v>99</v>
      </c>
      <c r="R132" s="265">
        <f t="shared" si="381"/>
        <v>0</v>
      </c>
      <c r="S132" s="43">
        <f t="shared" si="381"/>
        <v>0</v>
      </c>
      <c r="T132" s="42">
        <f t="shared" si="259"/>
        <v>99</v>
      </c>
      <c r="U132" s="58">
        <f t="shared" ref="U132:W132" si="382">SUM(U46:U49)</f>
        <v>8</v>
      </c>
      <c r="V132" s="265">
        <f t="shared" si="382"/>
        <v>0</v>
      </c>
      <c r="W132" s="43">
        <f t="shared" si="382"/>
        <v>0</v>
      </c>
      <c r="X132" s="42">
        <f t="shared" si="344"/>
        <v>8</v>
      </c>
      <c r="Y132" s="58">
        <f t="shared" ref="Y132:AA132" si="383">SUM(Y46:Y49)</f>
        <v>89</v>
      </c>
      <c r="Z132" s="265">
        <f t="shared" si="383"/>
        <v>1</v>
      </c>
      <c r="AA132" s="43">
        <f t="shared" si="383"/>
        <v>0</v>
      </c>
      <c r="AB132" s="42">
        <f t="shared" si="346"/>
        <v>90</v>
      </c>
      <c r="AC132" s="58">
        <f t="shared" ref="AC132:AE132" si="384">SUM(AC46:AC49)</f>
        <v>40</v>
      </c>
      <c r="AD132" s="265">
        <f t="shared" si="384"/>
        <v>0</v>
      </c>
      <c r="AE132" s="43">
        <f t="shared" si="384"/>
        <v>0</v>
      </c>
      <c r="AF132" s="42">
        <f t="shared" si="348"/>
        <v>40</v>
      </c>
      <c r="AG132" s="58">
        <f t="shared" ref="AG132:AI132" si="385">SUM(AG46:AG49)</f>
        <v>129</v>
      </c>
      <c r="AH132" s="265">
        <f t="shared" si="385"/>
        <v>1</v>
      </c>
      <c r="AI132" s="43">
        <f t="shared" si="385"/>
        <v>0</v>
      </c>
      <c r="AJ132" s="42">
        <f t="shared" si="350"/>
        <v>130</v>
      </c>
      <c r="AK132" s="58">
        <f t="shared" ref="AK132:AM132" si="386">SUM(AK46:AK49)</f>
        <v>39</v>
      </c>
      <c r="AL132" s="265">
        <f t="shared" si="386"/>
        <v>0</v>
      </c>
      <c r="AM132" s="43">
        <f t="shared" si="386"/>
        <v>0</v>
      </c>
      <c r="AN132" s="42">
        <f t="shared" si="269"/>
        <v>39</v>
      </c>
      <c r="AO132" s="58">
        <f t="shared" ref="AO132:AQ132" si="387">SUM(AO46:AO49)</f>
        <v>2</v>
      </c>
      <c r="AP132" s="265">
        <f t="shared" si="387"/>
        <v>0</v>
      </c>
      <c r="AQ132" s="43">
        <f t="shared" si="387"/>
        <v>0</v>
      </c>
      <c r="AR132" s="42">
        <f t="shared" si="353"/>
        <v>2</v>
      </c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U132" s="78" t="s">
        <v>89</v>
      </c>
      <c r="BV132" s="79">
        <f>SUM(BV139:BZ139)</f>
        <v>703</v>
      </c>
      <c r="BW132" s="79">
        <f>SUM(BZ139:CA139,CG139,CM139,CS139)</f>
        <v>645</v>
      </c>
      <c r="BX132" s="79">
        <f>SUM(CA139:CE139)</f>
        <v>513</v>
      </c>
      <c r="BY132" s="79">
        <f>SUM(BY139,CE139:CF139,CL139,CR139)</f>
        <v>320</v>
      </c>
      <c r="BZ132" s="79">
        <f>SUM(CF139:CJ139)</f>
        <v>432</v>
      </c>
      <c r="CA132" s="79">
        <f>SUM(BX139,CD139,CJ139:CK139,CQ139)</f>
        <v>608</v>
      </c>
      <c r="CB132" s="79">
        <f>SUM(CK139:CO139)</f>
        <v>492</v>
      </c>
      <c r="CC132" s="79">
        <f>SUM(BW139,CC139,CI139,CO139:CP139)</f>
        <v>634</v>
      </c>
      <c r="CD132" s="79">
        <f>SUM(CP139:CT139)</f>
        <v>125</v>
      </c>
      <c r="CE132" s="79">
        <f>SUM(BV139,CB139,CH139,CN139,CT139)</f>
        <v>58</v>
      </c>
    </row>
    <row r="133" spans="2:108" s="50" customFormat="1" ht="24.95" customHeight="1" thickBot="1">
      <c r="B133" s="37">
        <f t="shared" si="272"/>
        <v>0.72916667666666701</v>
      </c>
      <c r="C133" s="38" t="s">
        <v>9</v>
      </c>
      <c r="D133" s="47">
        <f t="shared" si="334"/>
        <v>0.77083334666666703</v>
      </c>
      <c r="E133" s="58">
        <f t="shared" ref="E133" si="388">SUM(E47:E50)</f>
        <v>13</v>
      </c>
      <c r="F133" s="265">
        <f t="shared" ref="F133:G133" si="389">SUM(F47:F50)</f>
        <v>0</v>
      </c>
      <c r="G133" s="43">
        <f t="shared" si="389"/>
        <v>0</v>
      </c>
      <c r="H133" s="42">
        <f t="shared" si="337"/>
        <v>13</v>
      </c>
      <c r="I133" s="58">
        <f t="shared" ref="I133:K133" si="390">SUM(I47:I50)</f>
        <v>232</v>
      </c>
      <c r="J133" s="265">
        <f t="shared" si="390"/>
        <v>1</v>
      </c>
      <c r="K133" s="43">
        <f t="shared" si="390"/>
        <v>16</v>
      </c>
      <c r="L133" s="42">
        <f t="shared" si="339"/>
        <v>249</v>
      </c>
      <c r="M133" s="58">
        <f t="shared" ref="M133:O133" si="391">SUM(M47:M50)</f>
        <v>275</v>
      </c>
      <c r="N133" s="265">
        <f t="shared" si="391"/>
        <v>1</v>
      </c>
      <c r="O133" s="43">
        <f t="shared" si="391"/>
        <v>0</v>
      </c>
      <c r="P133" s="42">
        <f t="shared" si="341"/>
        <v>276</v>
      </c>
      <c r="Q133" s="58">
        <f t="shared" ref="Q133:S133" si="392">SUM(Q47:Q50)</f>
        <v>109</v>
      </c>
      <c r="R133" s="265">
        <f t="shared" si="392"/>
        <v>0</v>
      </c>
      <c r="S133" s="43">
        <f t="shared" si="392"/>
        <v>0</v>
      </c>
      <c r="T133" s="42">
        <f t="shared" si="259"/>
        <v>109</v>
      </c>
      <c r="U133" s="58">
        <f t="shared" ref="U133:W133" si="393">SUM(U47:U50)</f>
        <v>12</v>
      </c>
      <c r="V133" s="265">
        <f t="shared" si="393"/>
        <v>0</v>
      </c>
      <c r="W133" s="43">
        <f t="shared" si="393"/>
        <v>0</v>
      </c>
      <c r="X133" s="42">
        <f t="shared" si="344"/>
        <v>12</v>
      </c>
      <c r="Y133" s="58">
        <f t="shared" ref="Y133:AA133" si="394">SUM(Y47:Y50)</f>
        <v>80</v>
      </c>
      <c r="Z133" s="265">
        <f t="shared" si="394"/>
        <v>1</v>
      </c>
      <c r="AA133" s="43">
        <f t="shared" si="394"/>
        <v>0</v>
      </c>
      <c r="AB133" s="42">
        <f t="shared" si="346"/>
        <v>81</v>
      </c>
      <c r="AC133" s="58">
        <f t="shared" ref="AC133:AE133" si="395">SUM(AC47:AC50)</f>
        <v>39</v>
      </c>
      <c r="AD133" s="265">
        <f t="shared" si="395"/>
        <v>0</v>
      </c>
      <c r="AE133" s="43">
        <f t="shared" si="395"/>
        <v>0</v>
      </c>
      <c r="AF133" s="42">
        <f t="shared" si="348"/>
        <v>39</v>
      </c>
      <c r="AG133" s="58">
        <f t="shared" ref="AG133:AI133" si="396">SUM(AG47:AG50)</f>
        <v>129</v>
      </c>
      <c r="AH133" s="265">
        <f t="shared" si="396"/>
        <v>1</v>
      </c>
      <c r="AI133" s="43">
        <f t="shared" si="396"/>
        <v>0</v>
      </c>
      <c r="AJ133" s="42">
        <f t="shared" si="350"/>
        <v>130</v>
      </c>
      <c r="AK133" s="58">
        <f t="shared" ref="AK133:AM133" si="397">SUM(AK47:AK50)</f>
        <v>37</v>
      </c>
      <c r="AL133" s="265">
        <f t="shared" si="397"/>
        <v>0</v>
      </c>
      <c r="AM133" s="43">
        <f t="shared" si="397"/>
        <v>0</v>
      </c>
      <c r="AN133" s="42">
        <f t="shared" si="269"/>
        <v>37</v>
      </c>
      <c r="AO133" s="58">
        <f t="shared" ref="AO133:AQ133" si="398">SUM(AO47:AO50)</f>
        <v>4</v>
      </c>
      <c r="AP133" s="265">
        <f t="shared" si="398"/>
        <v>0</v>
      </c>
      <c r="AQ133" s="43">
        <f t="shared" si="398"/>
        <v>0</v>
      </c>
      <c r="AR133" s="42">
        <f t="shared" si="353"/>
        <v>4</v>
      </c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U133" s="78" t="s">
        <v>90</v>
      </c>
      <c r="BV133" s="259">
        <f t="shared" ref="BV133:BV135" si="399">SUM(BV140:BZ140)</f>
        <v>757</v>
      </c>
      <c r="BW133" s="259">
        <f t="shared" ref="BW133:BW135" si="400">SUM(BZ140:CA140,CG140,CM140,CS140)</f>
        <v>1108</v>
      </c>
      <c r="BX133" s="259">
        <f t="shared" ref="BX133:BX135" si="401">SUM(CA140:CE140)</f>
        <v>330</v>
      </c>
      <c r="BY133" s="259">
        <f t="shared" ref="BY133:BY135" si="402">SUM(BY140,CE140:CF140,CL140,CR140)</f>
        <v>467</v>
      </c>
      <c r="BZ133" s="259">
        <f t="shared" ref="BZ133:BZ135" si="403">SUM(CF140:CJ140)</f>
        <v>765</v>
      </c>
      <c r="CA133" s="259">
        <f t="shared" ref="CA133:CA135" si="404">SUM(BX140,CD140,CJ140:CK140,CQ140)</f>
        <v>430</v>
      </c>
      <c r="CB133" s="259">
        <f t="shared" ref="CB133:CB135" si="405">SUM(CK140:CO140)</f>
        <v>687</v>
      </c>
      <c r="CC133" s="259">
        <f t="shared" ref="CC133:CC135" si="406">SUM(BW140,CC140,CI140,CO140:CP140)</f>
        <v>529</v>
      </c>
      <c r="CD133" s="259">
        <f t="shared" ref="CD133:CD135" si="407">SUM(CP140:CT140)</f>
        <v>126</v>
      </c>
      <c r="CE133" s="259">
        <f t="shared" ref="CE133:CE135" si="408">SUM(BV140,CB140,CH140,CN140,CT140)</f>
        <v>131</v>
      </c>
    </row>
    <row r="134" spans="2:108" s="50" customFormat="1" ht="30" customHeight="1" thickBot="1">
      <c r="B134" s="369" t="str">
        <f>B51</f>
        <v>PM Totals</v>
      </c>
      <c r="C134" s="370"/>
      <c r="D134" s="371"/>
      <c r="E134" s="44">
        <f t="shared" ref="E134:AR134" si="409">E51</f>
        <v>66</v>
      </c>
      <c r="F134" s="263">
        <f t="shared" ref="F134:G134" si="410">F51</f>
        <v>1</v>
      </c>
      <c r="G134" s="45">
        <f t="shared" si="410"/>
        <v>0</v>
      </c>
      <c r="H134" s="44">
        <f t="shared" si="409"/>
        <v>67</v>
      </c>
      <c r="I134" s="44">
        <f t="shared" ref="I134:K134" si="411">I51</f>
        <v>967</v>
      </c>
      <c r="J134" s="263">
        <f t="shared" si="411"/>
        <v>4</v>
      </c>
      <c r="K134" s="45">
        <f t="shared" si="411"/>
        <v>63</v>
      </c>
      <c r="L134" s="44">
        <f t="shared" si="409"/>
        <v>1034</v>
      </c>
      <c r="M134" s="44">
        <f t="shared" ref="M134:O134" si="412">M51</f>
        <v>1203</v>
      </c>
      <c r="N134" s="263">
        <f t="shared" si="412"/>
        <v>7</v>
      </c>
      <c r="O134" s="45">
        <f t="shared" si="412"/>
        <v>1</v>
      </c>
      <c r="P134" s="44">
        <f t="shared" si="409"/>
        <v>1211</v>
      </c>
      <c r="Q134" s="44">
        <f t="shared" ref="Q134:S134" si="413">Q51</f>
        <v>431</v>
      </c>
      <c r="R134" s="263">
        <f t="shared" si="413"/>
        <v>5</v>
      </c>
      <c r="S134" s="45">
        <f t="shared" si="413"/>
        <v>0</v>
      </c>
      <c r="T134" s="44">
        <f t="shared" ref="T134:W134" si="414">T51</f>
        <v>436</v>
      </c>
      <c r="U134" s="44">
        <f t="shared" si="414"/>
        <v>39</v>
      </c>
      <c r="V134" s="263">
        <f t="shared" si="414"/>
        <v>0</v>
      </c>
      <c r="W134" s="45">
        <f t="shared" si="414"/>
        <v>0</v>
      </c>
      <c r="X134" s="44">
        <f t="shared" si="409"/>
        <v>39</v>
      </c>
      <c r="Y134" s="44">
        <f t="shared" ref="Y134:AA134" si="415">Y51</f>
        <v>340</v>
      </c>
      <c r="Z134" s="263">
        <f t="shared" si="415"/>
        <v>4</v>
      </c>
      <c r="AA134" s="45">
        <f t="shared" si="415"/>
        <v>0</v>
      </c>
      <c r="AB134" s="44">
        <f t="shared" si="409"/>
        <v>344</v>
      </c>
      <c r="AC134" s="44">
        <f t="shared" ref="AC134:AE134" si="416">AC51</f>
        <v>144</v>
      </c>
      <c r="AD134" s="263">
        <f t="shared" si="416"/>
        <v>0</v>
      </c>
      <c r="AE134" s="45">
        <f t="shared" si="416"/>
        <v>0</v>
      </c>
      <c r="AF134" s="44">
        <f t="shared" si="409"/>
        <v>144</v>
      </c>
      <c r="AG134" s="44">
        <f t="shared" ref="AG134:AI134" si="417">AG51</f>
        <v>609</v>
      </c>
      <c r="AH134" s="263">
        <f t="shared" si="417"/>
        <v>10</v>
      </c>
      <c r="AI134" s="45">
        <f t="shared" si="417"/>
        <v>0</v>
      </c>
      <c r="AJ134" s="44">
        <f t="shared" si="409"/>
        <v>619</v>
      </c>
      <c r="AK134" s="44">
        <f t="shared" ref="AK134:AM134" si="418">AK51</f>
        <v>182</v>
      </c>
      <c r="AL134" s="263">
        <f t="shared" si="418"/>
        <v>0</v>
      </c>
      <c r="AM134" s="45">
        <f t="shared" si="418"/>
        <v>0</v>
      </c>
      <c r="AN134" s="46">
        <f t="shared" ref="AN134:AQ134" si="419">AN51</f>
        <v>182</v>
      </c>
      <c r="AO134" s="44">
        <f t="shared" si="419"/>
        <v>18</v>
      </c>
      <c r="AP134" s="263">
        <f t="shared" si="419"/>
        <v>0</v>
      </c>
      <c r="AQ134" s="45">
        <f t="shared" si="419"/>
        <v>0</v>
      </c>
      <c r="AR134" s="46">
        <f t="shared" si="409"/>
        <v>18</v>
      </c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U134" s="78" t="s">
        <v>42</v>
      </c>
      <c r="BV134" s="257">
        <f>SUM(BV141:BZ141)</f>
        <v>2908</v>
      </c>
      <c r="BW134" s="257">
        <f t="shared" si="400"/>
        <v>1740</v>
      </c>
      <c r="BX134" s="257">
        <f t="shared" si="401"/>
        <v>1356</v>
      </c>
      <c r="BY134" s="257">
        <f t="shared" si="402"/>
        <v>888</v>
      </c>
      <c r="BZ134" s="257">
        <f t="shared" si="403"/>
        <v>1128</v>
      </c>
      <c r="CA134" s="257">
        <f t="shared" si="404"/>
        <v>2491</v>
      </c>
      <c r="CB134" s="257">
        <f t="shared" si="405"/>
        <v>1334</v>
      </c>
      <c r="CC134" s="257">
        <f t="shared" si="406"/>
        <v>1884</v>
      </c>
      <c r="CD134" s="257">
        <f t="shared" si="407"/>
        <v>421</v>
      </c>
      <c r="CE134" s="257">
        <f t="shared" si="408"/>
        <v>144</v>
      </c>
    </row>
    <row r="135" spans="2:108" s="50" customFormat="1" ht="24.95" customHeight="1" thickBo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M135" s="55"/>
      <c r="AQ135" s="55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  <c r="BC135" s="331"/>
      <c r="BD135" s="331"/>
      <c r="BU135" s="78" t="s">
        <v>43</v>
      </c>
      <c r="BV135" s="79">
        <f t="shared" si="399"/>
        <v>2787</v>
      </c>
      <c r="BW135" s="79">
        <f t="shared" si="400"/>
        <v>3880</v>
      </c>
      <c r="BX135" s="79">
        <f t="shared" si="401"/>
        <v>1307</v>
      </c>
      <c r="BY135" s="79">
        <f t="shared" si="402"/>
        <v>1776</v>
      </c>
      <c r="BZ135" s="79">
        <f t="shared" si="403"/>
        <v>2672</v>
      </c>
      <c r="CA135" s="79">
        <f t="shared" si="404"/>
        <v>1632</v>
      </c>
      <c r="CB135" s="79">
        <f t="shared" si="405"/>
        <v>2573</v>
      </c>
      <c r="CC135" s="79">
        <f t="shared" si="406"/>
        <v>1990</v>
      </c>
      <c r="CD135" s="79">
        <f t="shared" si="407"/>
        <v>437</v>
      </c>
      <c r="CE135" s="79">
        <f t="shared" si="408"/>
        <v>498</v>
      </c>
    </row>
    <row r="136" spans="2:108" s="50" customFormat="1" ht="34.5" customHeight="1" thickBot="1">
      <c r="B136" s="361" t="s">
        <v>5</v>
      </c>
      <c r="C136" s="362"/>
      <c r="D136" s="363"/>
      <c r="E136" s="377" t="str">
        <f>AA93</f>
        <v>St Jude St</v>
      </c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378"/>
      <c r="W136" s="378"/>
      <c r="X136" s="379"/>
      <c r="Y136" s="338" t="str">
        <f>U92</f>
        <v>Great N Rd</v>
      </c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  <c r="AO136" s="339"/>
      <c r="AP136" s="339"/>
      <c r="AQ136" s="339"/>
      <c r="AR136" s="340"/>
      <c r="AS136" s="332" t="str">
        <f>S93</f>
        <v>Wingate St</v>
      </c>
      <c r="AT136" s="333"/>
      <c r="AU136" s="333"/>
      <c r="AV136" s="333"/>
      <c r="AW136" s="333"/>
      <c r="AX136" s="333"/>
      <c r="AY136" s="333"/>
      <c r="AZ136" s="333"/>
      <c r="BA136" s="333"/>
      <c r="BB136" s="333"/>
      <c r="BC136" s="333"/>
      <c r="BD136" s="333"/>
      <c r="BE136" s="333"/>
      <c r="BF136" s="333"/>
      <c r="BG136" s="333"/>
      <c r="BH136" s="333"/>
      <c r="BI136" s="333"/>
      <c r="BJ136" s="333"/>
      <c r="BK136" s="333"/>
      <c r="BL136" s="334"/>
      <c r="BO136" s="55"/>
      <c r="BP136" s="55"/>
      <c r="BV136" s="80">
        <v>1</v>
      </c>
      <c r="BW136" s="80">
        <v>2</v>
      </c>
      <c r="BX136" s="80">
        <v>3</v>
      </c>
      <c r="BY136" s="80">
        <v>4</v>
      </c>
      <c r="BZ136" s="80">
        <v>5</v>
      </c>
      <c r="CA136" s="80">
        <v>6</v>
      </c>
      <c r="CB136" s="80">
        <v>7</v>
      </c>
      <c r="CC136" s="80">
        <v>8</v>
      </c>
      <c r="CD136" s="80">
        <v>9</v>
      </c>
      <c r="CE136" s="80">
        <v>10</v>
      </c>
      <c r="CF136" s="81"/>
      <c r="CG136" s="81"/>
      <c r="CH136" s="81"/>
      <c r="CI136" s="81"/>
      <c r="CK136" s="81"/>
      <c r="CL136" s="81"/>
      <c r="CM136" s="81"/>
      <c r="CN136" s="81"/>
      <c r="CP136" s="81">
        <v>11</v>
      </c>
      <c r="CQ136" s="81">
        <v>12</v>
      </c>
      <c r="CR136" s="81">
        <v>13</v>
      </c>
      <c r="CS136" s="81">
        <v>14</v>
      </c>
      <c r="CT136" s="81">
        <v>15</v>
      </c>
    </row>
    <row r="137" spans="2:108" s="50" customFormat="1" ht="39" customHeight="1" thickBot="1">
      <c r="B137" s="361" t="s">
        <v>6</v>
      </c>
      <c r="C137" s="362"/>
      <c r="D137" s="363"/>
      <c r="E137" s="335" t="s">
        <v>55</v>
      </c>
      <c r="F137" s="336"/>
      <c r="G137" s="336"/>
      <c r="H137" s="337"/>
      <c r="I137" s="335" t="s">
        <v>56</v>
      </c>
      <c r="J137" s="336"/>
      <c r="K137" s="336"/>
      <c r="L137" s="337"/>
      <c r="M137" s="335" t="s">
        <v>57</v>
      </c>
      <c r="N137" s="336"/>
      <c r="O137" s="336"/>
      <c r="P137" s="337"/>
      <c r="Q137" s="335" t="s">
        <v>58</v>
      </c>
      <c r="R137" s="336"/>
      <c r="S137" s="336"/>
      <c r="T137" s="337"/>
      <c r="U137" s="335" t="s">
        <v>81</v>
      </c>
      <c r="V137" s="336"/>
      <c r="W137" s="336"/>
      <c r="X137" s="337"/>
      <c r="Y137" s="335" t="s">
        <v>59</v>
      </c>
      <c r="Z137" s="336"/>
      <c r="AA137" s="336"/>
      <c r="AB137" s="337"/>
      <c r="AC137" s="335" t="s">
        <v>60</v>
      </c>
      <c r="AD137" s="336"/>
      <c r="AE137" s="336"/>
      <c r="AF137" s="337"/>
      <c r="AG137" s="335" t="s">
        <v>61</v>
      </c>
      <c r="AH137" s="336"/>
      <c r="AI137" s="336"/>
      <c r="AJ137" s="337"/>
      <c r="AK137" s="335" t="s">
        <v>62</v>
      </c>
      <c r="AL137" s="336"/>
      <c r="AM137" s="336"/>
      <c r="AN137" s="337"/>
      <c r="AO137" s="335" t="s">
        <v>82</v>
      </c>
      <c r="AP137" s="336"/>
      <c r="AQ137" s="336"/>
      <c r="AR137" s="337"/>
      <c r="AS137" s="335" t="s">
        <v>63</v>
      </c>
      <c r="AT137" s="336"/>
      <c r="AU137" s="336"/>
      <c r="AV137" s="337"/>
      <c r="AW137" s="335" t="s">
        <v>64</v>
      </c>
      <c r="AX137" s="336"/>
      <c r="AY137" s="336"/>
      <c r="AZ137" s="337"/>
      <c r="BA137" s="335" t="s">
        <v>65</v>
      </c>
      <c r="BB137" s="336"/>
      <c r="BC137" s="336"/>
      <c r="BD137" s="337"/>
      <c r="BE137" s="335" t="s">
        <v>66</v>
      </c>
      <c r="BF137" s="336"/>
      <c r="BG137" s="336"/>
      <c r="BH137" s="337"/>
      <c r="BI137" s="335" t="s">
        <v>83</v>
      </c>
      <c r="BJ137" s="336"/>
      <c r="BK137" s="336"/>
      <c r="BL137" s="337"/>
      <c r="BO137" s="55"/>
      <c r="BP137" s="55"/>
      <c r="BV137" s="80">
        <f>SUM((($BR$128*BV$136)+3))</f>
        <v>7</v>
      </c>
      <c r="BW137" s="80">
        <f t="shared" ref="BW137:BY137" si="420">SUM($BV$137+((COUNTA($BR$139:$BR$156)*(BW136-1))))</f>
        <v>11</v>
      </c>
      <c r="BX137" s="80">
        <f t="shared" si="420"/>
        <v>15</v>
      </c>
      <c r="BY137" s="80">
        <f t="shared" si="420"/>
        <v>19</v>
      </c>
      <c r="BZ137" s="80">
        <f t="shared" ref="BZ137:CE137" si="421">SUM($BV$137+((COUNTA($BR$139:$BR$156)*(BZ136-1))))</f>
        <v>23</v>
      </c>
      <c r="CA137" s="80">
        <f t="shared" si="421"/>
        <v>27</v>
      </c>
      <c r="CB137" s="80">
        <f t="shared" si="421"/>
        <v>31</v>
      </c>
      <c r="CC137" s="80">
        <f t="shared" si="421"/>
        <v>35</v>
      </c>
      <c r="CD137" s="80">
        <f t="shared" si="421"/>
        <v>39</v>
      </c>
      <c r="CE137" s="80">
        <f t="shared" si="421"/>
        <v>43</v>
      </c>
      <c r="CF137" s="80">
        <f>BV137</f>
        <v>7</v>
      </c>
      <c r="CG137" s="80">
        <f>BW137</f>
        <v>11</v>
      </c>
      <c r="CH137" s="80">
        <f t="shared" ref="CH137:CO137" si="422">BX137</f>
        <v>15</v>
      </c>
      <c r="CI137" s="80">
        <f t="shared" si="422"/>
        <v>19</v>
      </c>
      <c r="CJ137" s="80">
        <f t="shared" si="422"/>
        <v>23</v>
      </c>
      <c r="CK137" s="80">
        <f t="shared" si="422"/>
        <v>27</v>
      </c>
      <c r="CL137" s="80">
        <f t="shared" si="422"/>
        <v>31</v>
      </c>
      <c r="CM137" s="80">
        <f t="shared" si="422"/>
        <v>35</v>
      </c>
      <c r="CN137" s="80">
        <f t="shared" si="422"/>
        <v>39</v>
      </c>
      <c r="CO137" s="80">
        <f t="shared" si="422"/>
        <v>43</v>
      </c>
      <c r="CP137" s="80">
        <f t="shared" ref="CP137" si="423">SUM($BV$137+((COUNTA($BR$139:$BR$156)*(CP136-1))))</f>
        <v>47</v>
      </c>
      <c r="CQ137" s="80">
        <f t="shared" ref="CQ137:CT137" si="424">SUM($BV$137+((COUNTA($BR$139:$BR$156)*(CQ136-1))))</f>
        <v>51</v>
      </c>
      <c r="CR137" s="80">
        <f t="shared" si="424"/>
        <v>55</v>
      </c>
      <c r="CS137" s="80">
        <f t="shared" si="424"/>
        <v>59</v>
      </c>
      <c r="CT137" s="80">
        <f t="shared" si="424"/>
        <v>63</v>
      </c>
      <c r="CU137" s="80">
        <f>(COUNTA($BR$139:$BR$156)*10)+4</f>
        <v>44</v>
      </c>
      <c r="CV137" s="80">
        <f>CU137+1</f>
        <v>45</v>
      </c>
      <c r="CW137" s="80">
        <f t="shared" ref="CW137" si="425">CV137+1</f>
        <v>46</v>
      </c>
      <c r="CX137" s="80">
        <f t="shared" ref="CX137" si="426">CW137+1</f>
        <v>47</v>
      </c>
      <c r="CY137" s="80">
        <f t="shared" ref="CY137" si="427">CX137+1</f>
        <v>48</v>
      </c>
      <c r="CZ137" s="80">
        <f t="shared" ref="CZ137" si="428">CY137+1</f>
        <v>49</v>
      </c>
      <c r="DA137" s="80">
        <f t="shared" ref="DA137" si="429">CZ137+1</f>
        <v>50</v>
      </c>
      <c r="DB137" s="80">
        <f t="shared" ref="DB137" si="430">DA137+1</f>
        <v>51</v>
      </c>
      <c r="DC137" s="80">
        <f t="shared" ref="DC137" si="431">DB137+1</f>
        <v>52</v>
      </c>
      <c r="DD137" s="80">
        <f t="shared" ref="DD137" si="432">DC137+1</f>
        <v>53</v>
      </c>
    </row>
    <row r="138" spans="2:108" s="56" customFormat="1" ht="49.5" thickBot="1">
      <c r="B138" s="372" t="s">
        <v>7</v>
      </c>
      <c r="C138" s="373"/>
      <c r="D138" s="374"/>
      <c r="E138" s="26" t="str">
        <f>$E$13</f>
        <v>Lights</v>
      </c>
      <c r="F138" s="260" t="str">
        <f>$G$13</f>
        <v>Heavies</v>
      </c>
      <c r="G138" s="27" t="str">
        <f>$I$13</f>
        <v>Buses</v>
      </c>
      <c r="H138" s="28" t="s">
        <v>8</v>
      </c>
      <c r="I138" s="26" t="str">
        <f>$E$13</f>
        <v>Lights</v>
      </c>
      <c r="J138" s="260" t="str">
        <f>$G$13</f>
        <v>Heavies</v>
      </c>
      <c r="K138" s="27" t="str">
        <f>$I$13</f>
        <v>Buses</v>
      </c>
      <c r="L138" s="28" t="s">
        <v>8</v>
      </c>
      <c r="M138" s="26" t="str">
        <f>$E$13</f>
        <v>Lights</v>
      </c>
      <c r="N138" s="260" t="str">
        <f>$G$13</f>
        <v>Heavies</v>
      </c>
      <c r="O138" s="27" t="str">
        <f>$I$13</f>
        <v>Buses</v>
      </c>
      <c r="P138" s="28" t="s">
        <v>8</v>
      </c>
      <c r="Q138" s="26" t="str">
        <f>$E$13</f>
        <v>Lights</v>
      </c>
      <c r="R138" s="260" t="str">
        <f>$G$13</f>
        <v>Heavies</v>
      </c>
      <c r="S138" s="27" t="str">
        <f>$I$13</f>
        <v>Buses</v>
      </c>
      <c r="T138" s="28" t="s">
        <v>8</v>
      </c>
      <c r="U138" s="26" t="str">
        <f>$E$13</f>
        <v>Lights</v>
      </c>
      <c r="V138" s="260" t="str">
        <f>$G$13</f>
        <v>Heavies</v>
      </c>
      <c r="W138" s="27" t="str">
        <f>$I$13</f>
        <v>Buses</v>
      </c>
      <c r="X138" s="28" t="s">
        <v>8</v>
      </c>
      <c r="Y138" s="26" t="str">
        <f>$E$13</f>
        <v>Lights</v>
      </c>
      <c r="Z138" s="260" t="str">
        <f>$G$13</f>
        <v>Heavies</v>
      </c>
      <c r="AA138" s="27" t="str">
        <f>$I$13</f>
        <v>Buses</v>
      </c>
      <c r="AB138" s="28" t="s">
        <v>8</v>
      </c>
      <c r="AC138" s="26" t="str">
        <f>$E$13</f>
        <v>Lights</v>
      </c>
      <c r="AD138" s="260" t="str">
        <f>$G$13</f>
        <v>Heavies</v>
      </c>
      <c r="AE138" s="27" t="str">
        <f>$I$13</f>
        <v>Buses</v>
      </c>
      <c r="AF138" s="28" t="s">
        <v>8</v>
      </c>
      <c r="AG138" s="26" t="str">
        <f>$E$13</f>
        <v>Lights</v>
      </c>
      <c r="AH138" s="260" t="str">
        <f>$G$13</f>
        <v>Heavies</v>
      </c>
      <c r="AI138" s="27" t="str">
        <f>$I$13</f>
        <v>Buses</v>
      </c>
      <c r="AJ138" s="28" t="s">
        <v>8</v>
      </c>
      <c r="AK138" s="26" t="str">
        <f>$E$13</f>
        <v>Lights</v>
      </c>
      <c r="AL138" s="260" t="str">
        <f>$G$13</f>
        <v>Heavies</v>
      </c>
      <c r="AM138" s="27" t="str">
        <f>$I$13</f>
        <v>Buses</v>
      </c>
      <c r="AN138" s="28" t="s">
        <v>8</v>
      </c>
      <c r="AO138" s="26" t="str">
        <f>$E$13</f>
        <v>Lights</v>
      </c>
      <c r="AP138" s="260" t="str">
        <f>$G$13</f>
        <v>Heavies</v>
      </c>
      <c r="AQ138" s="27" t="str">
        <f>$I$13</f>
        <v>Buses</v>
      </c>
      <c r="AR138" s="28" t="s">
        <v>8</v>
      </c>
      <c r="AS138" s="26" t="str">
        <f>$E$13</f>
        <v>Lights</v>
      </c>
      <c r="AT138" s="260" t="str">
        <f>$G$13</f>
        <v>Heavies</v>
      </c>
      <c r="AU138" s="27" t="str">
        <f>$I$13</f>
        <v>Buses</v>
      </c>
      <c r="AV138" s="28" t="s">
        <v>8</v>
      </c>
      <c r="AW138" s="26" t="str">
        <f>$E$13</f>
        <v>Lights</v>
      </c>
      <c r="AX138" s="260" t="str">
        <f>$G$13</f>
        <v>Heavies</v>
      </c>
      <c r="AY138" s="27" t="str">
        <f>$I$13</f>
        <v>Buses</v>
      </c>
      <c r="AZ138" s="28" t="s">
        <v>8</v>
      </c>
      <c r="BA138" s="26" t="str">
        <f>$E$13</f>
        <v>Lights</v>
      </c>
      <c r="BB138" s="260" t="str">
        <f>$G$13</f>
        <v>Heavies</v>
      </c>
      <c r="BC138" s="27" t="str">
        <f>$I$13</f>
        <v>Buses</v>
      </c>
      <c r="BD138" s="28" t="s">
        <v>8</v>
      </c>
      <c r="BE138" s="26" t="str">
        <f>$E$13</f>
        <v>Lights</v>
      </c>
      <c r="BF138" s="260" t="str">
        <f>$G$13</f>
        <v>Heavies</v>
      </c>
      <c r="BG138" s="27" t="str">
        <f>$I$13</f>
        <v>Buses</v>
      </c>
      <c r="BH138" s="28" t="s">
        <v>8</v>
      </c>
      <c r="BI138" s="26" t="str">
        <f>$E$13</f>
        <v>Lights</v>
      </c>
      <c r="BJ138" s="260" t="str">
        <f>$G$13</f>
        <v>Heavies</v>
      </c>
      <c r="BK138" s="27" t="str">
        <f>$I$13</f>
        <v>Buses</v>
      </c>
      <c r="BL138" s="28" t="s">
        <v>8</v>
      </c>
      <c r="BO138" s="57"/>
      <c r="BP138" s="57"/>
      <c r="BU138" s="82"/>
      <c r="BV138" s="61">
        <v>1</v>
      </c>
      <c r="BW138" s="61">
        <v>2</v>
      </c>
      <c r="BX138" s="61">
        <v>3</v>
      </c>
      <c r="BY138" s="61">
        <v>4</v>
      </c>
      <c r="BZ138" s="62" t="s">
        <v>84</v>
      </c>
      <c r="CA138" s="252">
        <v>5</v>
      </c>
      <c r="CB138" s="61">
        <v>6</v>
      </c>
      <c r="CC138" s="61">
        <v>7</v>
      </c>
      <c r="CD138" s="61">
        <v>8</v>
      </c>
      <c r="CE138" s="62" t="s">
        <v>85</v>
      </c>
      <c r="CF138" s="252">
        <v>9</v>
      </c>
      <c r="CG138" s="61">
        <v>10</v>
      </c>
      <c r="CH138" s="61">
        <v>11</v>
      </c>
      <c r="CI138" s="61">
        <v>12</v>
      </c>
      <c r="CJ138" s="62" t="s">
        <v>86</v>
      </c>
      <c r="CK138" s="252">
        <v>13</v>
      </c>
      <c r="CL138" s="61">
        <v>14</v>
      </c>
      <c r="CM138" s="61">
        <v>15</v>
      </c>
      <c r="CN138" s="61">
        <v>16</v>
      </c>
      <c r="CO138" s="62" t="s">
        <v>87</v>
      </c>
      <c r="CP138" s="252">
        <v>17</v>
      </c>
      <c r="CQ138" s="61">
        <v>18</v>
      </c>
      <c r="CR138" s="61">
        <v>19</v>
      </c>
      <c r="CS138" s="61">
        <v>20</v>
      </c>
      <c r="CT138" s="62" t="s">
        <v>88</v>
      </c>
      <c r="CU138" s="63" t="s">
        <v>73</v>
      </c>
      <c r="CV138" s="64" t="s">
        <v>74</v>
      </c>
      <c r="CW138" s="74" t="s">
        <v>96</v>
      </c>
      <c r="CX138" s="74" t="s">
        <v>95</v>
      </c>
      <c r="CY138" s="65" t="s">
        <v>93</v>
      </c>
      <c r="CZ138" s="66" t="s">
        <v>94</v>
      </c>
      <c r="DA138" s="67" t="s">
        <v>75</v>
      </c>
      <c r="DB138" s="67" t="s">
        <v>76</v>
      </c>
      <c r="DC138" s="68" t="s">
        <v>77</v>
      </c>
      <c r="DD138" s="69" t="s">
        <v>78</v>
      </c>
    </row>
    <row r="139" spans="2:108" s="50" customFormat="1" ht="24.95" customHeight="1">
      <c r="B139" s="30">
        <f>B18</f>
        <v>0.25</v>
      </c>
      <c r="C139" s="31" t="s">
        <v>9</v>
      </c>
      <c r="D139" s="32">
        <f>SUM(0.04166667)+B139</f>
        <v>0.29166667000000002</v>
      </c>
      <c r="E139" s="33">
        <f t="shared" ref="E139:E144" si="433">SUM(E56:E59)</f>
        <v>7</v>
      </c>
      <c r="F139" s="264">
        <f t="shared" ref="F139:G139" si="434">SUM(F56:F59)</f>
        <v>2</v>
      </c>
      <c r="G139" s="34">
        <f t="shared" si="434"/>
        <v>0</v>
      </c>
      <c r="H139" s="36">
        <f t="shared" ref="H139:H144" si="435">SUM(E139:G139)</f>
        <v>9</v>
      </c>
      <c r="I139" s="33">
        <f t="shared" ref="I139:K139" si="436">SUM(I56:I59)</f>
        <v>73</v>
      </c>
      <c r="J139" s="264">
        <f t="shared" si="436"/>
        <v>3</v>
      </c>
      <c r="K139" s="34">
        <f t="shared" si="436"/>
        <v>0</v>
      </c>
      <c r="L139" s="36">
        <f t="shared" ref="L139:L144" si="437">SUM(I139:K139)</f>
        <v>76</v>
      </c>
      <c r="M139" s="33">
        <f t="shared" ref="M139:O139" si="438">SUM(M56:M59)</f>
        <v>6</v>
      </c>
      <c r="N139" s="264">
        <f t="shared" si="438"/>
        <v>2</v>
      </c>
      <c r="O139" s="34">
        <f t="shared" si="438"/>
        <v>0</v>
      </c>
      <c r="P139" s="36">
        <f t="shared" ref="P139:P144" si="439">SUM(M139:O139)</f>
        <v>8</v>
      </c>
      <c r="Q139" s="33">
        <f t="shared" ref="Q139:S139" si="440">SUM(Q56:Q59)</f>
        <v>17</v>
      </c>
      <c r="R139" s="264">
        <f t="shared" si="440"/>
        <v>1</v>
      </c>
      <c r="S139" s="34">
        <f t="shared" si="440"/>
        <v>0</v>
      </c>
      <c r="T139" s="36">
        <f t="shared" ref="T139:T151" si="441">SUM(Q139:S139)</f>
        <v>18</v>
      </c>
      <c r="U139" s="33">
        <f t="shared" ref="U139:W139" si="442">SUM(U56:U59)</f>
        <v>0</v>
      </c>
      <c r="V139" s="264">
        <f t="shared" si="442"/>
        <v>0</v>
      </c>
      <c r="W139" s="34">
        <f t="shared" si="442"/>
        <v>0</v>
      </c>
      <c r="X139" s="36">
        <f t="shared" ref="X139:X144" si="443">SUM(U139:W139)</f>
        <v>0</v>
      </c>
      <c r="Y139" s="33">
        <f t="shared" ref="Y139:AA139" si="444">SUM(Y56:Y59)</f>
        <v>8</v>
      </c>
      <c r="Z139" s="264">
        <f t="shared" si="444"/>
        <v>1</v>
      </c>
      <c r="AA139" s="34">
        <f t="shared" si="444"/>
        <v>0</v>
      </c>
      <c r="AB139" s="36">
        <f t="shared" ref="AB139:AB144" si="445">SUM(Y139:AA139)</f>
        <v>9</v>
      </c>
      <c r="AC139" s="33">
        <f t="shared" ref="AC139:AE139" si="446">SUM(AC56:AC59)</f>
        <v>48</v>
      </c>
      <c r="AD139" s="264">
        <f t="shared" si="446"/>
        <v>0</v>
      </c>
      <c r="AE139" s="34">
        <f t="shared" si="446"/>
        <v>0</v>
      </c>
      <c r="AF139" s="36">
        <f t="shared" ref="AF139:AF144" si="447">SUM(AC139:AE139)</f>
        <v>48</v>
      </c>
      <c r="AG139" s="33">
        <f t="shared" ref="AG139:AI139" si="448">SUM(AG56:AG59)</f>
        <v>85</v>
      </c>
      <c r="AH139" s="264">
        <f t="shared" si="448"/>
        <v>6</v>
      </c>
      <c r="AI139" s="34">
        <f t="shared" si="448"/>
        <v>12</v>
      </c>
      <c r="AJ139" s="36">
        <f t="shared" ref="AJ139:AJ144" si="449">SUM(AG139:AI139)</f>
        <v>103</v>
      </c>
      <c r="AK139" s="33">
        <f t="shared" ref="AK139:AM139" si="450">SUM(AK56:AK59)</f>
        <v>0</v>
      </c>
      <c r="AL139" s="264">
        <f t="shared" si="450"/>
        <v>1</v>
      </c>
      <c r="AM139" s="34">
        <f t="shared" si="450"/>
        <v>0</v>
      </c>
      <c r="AN139" s="36">
        <f t="shared" ref="AN139:AN151" si="451">SUM(AK139:AM139)</f>
        <v>1</v>
      </c>
      <c r="AO139" s="33">
        <f t="shared" ref="AO139:AQ139" si="452">SUM(AO56:AO59)</f>
        <v>1</v>
      </c>
      <c r="AP139" s="264">
        <f t="shared" si="452"/>
        <v>0</v>
      </c>
      <c r="AQ139" s="34">
        <f t="shared" si="452"/>
        <v>0</v>
      </c>
      <c r="AR139" s="36">
        <f t="shared" ref="AR139:AR144" si="453">SUM(AO139:AQ139)</f>
        <v>1</v>
      </c>
      <c r="AS139" s="33">
        <f t="shared" ref="AS139:AU139" si="454">SUM(AS56:AS59)</f>
        <v>22</v>
      </c>
      <c r="AT139" s="264">
        <f t="shared" si="454"/>
        <v>1</v>
      </c>
      <c r="AU139" s="34">
        <f t="shared" si="454"/>
        <v>0</v>
      </c>
      <c r="AV139" s="36">
        <f t="shared" ref="AV139:AV151" si="455">SUM(AS139:AU139)</f>
        <v>23</v>
      </c>
      <c r="AW139" s="33">
        <f t="shared" ref="AW139:AY139" si="456">SUM(AW56:AW59)</f>
        <v>19</v>
      </c>
      <c r="AX139" s="264">
        <f t="shared" si="456"/>
        <v>0</v>
      </c>
      <c r="AY139" s="34">
        <f t="shared" si="456"/>
        <v>0</v>
      </c>
      <c r="AZ139" s="36">
        <f t="shared" ref="AZ139:AZ151" si="457">SUM(AW139:AY139)</f>
        <v>19</v>
      </c>
      <c r="BA139" s="33">
        <f t="shared" ref="BA139:BC139" si="458">SUM(BA56:BA59)</f>
        <v>9</v>
      </c>
      <c r="BB139" s="264">
        <f t="shared" si="458"/>
        <v>0</v>
      </c>
      <c r="BC139" s="34">
        <f t="shared" si="458"/>
        <v>0</v>
      </c>
      <c r="BD139" s="36">
        <f t="shared" ref="BD139:BD151" si="459">SUM(BA139:BC139)</f>
        <v>9</v>
      </c>
      <c r="BE139" s="33">
        <f t="shared" ref="BE139:BG139" si="460">SUM(BE56:BE59)</f>
        <v>1</v>
      </c>
      <c r="BF139" s="264">
        <f t="shared" si="460"/>
        <v>0</v>
      </c>
      <c r="BG139" s="34">
        <f t="shared" si="460"/>
        <v>0</v>
      </c>
      <c r="BH139" s="36">
        <f t="shared" ref="BH139:BH151" si="461">SUM(BE139:BG139)</f>
        <v>1</v>
      </c>
      <c r="BI139" s="33">
        <f t="shared" ref="BI139:BK139" si="462">SUM(BI56:BI59)</f>
        <v>0</v>
      </c>
      <c r="BJ139" s="264">
        <f t="shared" si="462"/>
        <v>0</v>
      </c>
      <c r="BK139" s="34">
        <f t="shared" si="462"/>
        <v>0</v>
      </c>
      <c r="BL139" s="36">
        <f t="shared" ref="BL139:BL151" si="463">SUM(BI139:BK139)</f>
        <v>0</v>
      </c>
      <c r="BO139" s="55"/>
      <c r="BP139" s="55"/>
      <c r="BQ139" s="83">
        <f t="shared" ref="BQ139:BQ145" si="464">+B107</f>
        <v>0.25</v>
      </c>
      <c r="BR139" s="50" t="str">
        <f>$E$13</f>
        <v>Lights</v>
      </c>
      <c r="BT139" s="84" t="s">
        <v>28</v>
      </c>
      <c r="BU139" s="85">
        <f>'Peak Hr Summary'!AG18</f>
        <v>0.34375000749999979</v>
      </c>
      <c r="BV139" s="61">
        <f t="shared" ref="BV139:CE139" si="465">VLOOKUP($BU$139,$B$107:$AR$119,BV137)</f>
        <v>3</v>
      </c>
      <c r="BW139" s="61">
        <f t="shared" si="465"/>
        <v>215</v>
      </c>
      <c r="BX139" s="61">
        <f t="shared" si="465"/>
        <v>413</v>
      </c>
      <c r="BY139" s="61">
        <f t="shared" si="465"/>
        <v>70</v>
      </c>
      <c r="BZ139" s="62">
        <f t="shared" si="465"/>
        <v>2</v>
      </c>
      <c r="CA139" s="252">
        <f t="shared" si="465"/>
        <v>65</v>
      </c>
      <c r="CB139" s="61">
        <f t="shared" si="465"/>
        <v>23</v>
      </c>
      <c r="CC139" s="61">
        <f t="shared" si="465"/>
        <v>307</v>
      </c>
      <c r="CD139" s="61">
        <f t="shared" si="465"/>
        <v>116</v>
      </c>
      <c r="CE139" s="62">
        <f t="shared" si="465"/>
        <v>2</v>
      </c>
      <c r="CF139" s="252">
        <f t="shared" ref="CF139:CT139" si="466">VLOOKUP($BU$139,$B$139:$BL$151,CF137)</f>
        <v>52</v>
      </c>
      <c r="CG139" s="61">
        <f t="shared" si="466"/>
        <v>308</v>
      </c>
      <c r="CH139" s="61">
        <f t="shared" si="466"/>
        <v>11</v>
      </c>
      <c r="CI139" s="61">
        <f t="shared" si="466"/>
        <v>59</v>
      </c>
      <c r="CJ139" s="62">
        <f t="shared" si="466"/>
        <v>2</v>
      </c>
      <c r="CK139" s="252">
        <f t="shared" si="466"/>
        <v>42</v>
      </c>
      <c r="CL139" s="61">
        <f t="shared" si="466"/>
        <v>172</v>
      </c>
      <c r="CM139" s="61">
        <f t="shared" si="466"/>
        <v>254</v>
      </c>
      <c r="CN139" s="61">
        <f t="shared" si="466"/>
        <v>21</v>
      </c>
      <c r="CO139" s="62">
        <f t="shared" si="466"/>
        <v>3</v>
      </c>
      <c r="CP139" s="252">
        <f t="shared" si="466"/>
        <v>50</v>
      </c>
      <c r="CQ139" s="61">
        <f t="shared" si="466"/>
        <v>35</v>
      </c>
      <c r="CR139" s="61">
        <f t="shared" si="466"/>
        <v>24</v>
      </c>
      <c r="CS139" s="61">
        <f t="shared" si="466"/>
        <v>16</v>
      </c>
      <c r="CT139" s="62">
        <f t="shared" si="466"/>
        <v>0</v>
      </c>
      <c r="CU139" s="253">
        <f t="shared" ref="CU139:DD139" si="467">VLOOKUP($BU$139,$B$107:$BB$119,CU137)</f>
        <v>0</v>
      </c>
      <c r="CV139" s="71">
        <f t="shared" si="467"/>
        <v>0</v>
      </c>
      <c r="CW139" s="71">
        <f t="shared" si="467"/>
        <v>0</v>
      </c>
      <c r="CX139" s="71">
        <f t="shared" si="467"/>
        <v>0</v>
      </c>
      <c r="CY139" s="71">
        <f t="shared" si="467"/>
        <v>0</v>
      </c>
      <c r="CZ139" s="71">
        <f t="shared" si="467"/>
        <v>0</v>
      </c>
      <c r="DA139" s="71">
        <f t="shared" si="467"/>
        <v>0</v>
      </c>
      <c r="DB139" s="71">
        <f t="shared" si="467"/>
        <v>0</v>
      </c>
      <c r="DC139" s="71">
        <f t="shared" si="467"/>
        <v>0</v>
      </c>
      <c r="DD139" s="71">
        <f t="shared" si="467"/>
        <v>0</v>
      </c>
    </row>
    <row r="140" spans="2:108" ht="24.95" customHeight="1" thickBot="1">
      <c r="B140" s="37">
        <f>SUM(0.04166667/4+B139)</f>
        <v>0.26041666749999998</v>
      </c>
      <c r="C140" s="38" t="s">
        <v>9</v>
      </c>
      <c r="D140" s="39">
        <f>SUM(0.04166667)+B140</f>
        <v>0.30208333749999999</v>
      </c>
      <c r="E140" s="58">
        <f t="shared" si="433"/>
        <v>6</v>
      </c>
      <c r="F140" s="265">
        <f t="shared" ref="F140:G140" si="468">SUM(F57:F60)</f>
        <v>2</v>
      </c>
      <c r="G140" s="43">
        <f t="shared" si="468"/>
        <v>0</v>
      </c>
      <c r="H140" s="42">
        <f t="shared" si="435"/>
        <v>8</v>
      </c>
      <c r="I140" s="58">
        <f t="shared" ref="I140:K140" si="469">SUM(I57:I60)</f>
        <v>87</v>
      </c>
      <c r="J140" s="265">
        <f t="shared" si="469"/>
        <v>3</v>
      </c>
      <c r="K140" s="43">
        <f t="shared" si="469"/>
        <v>0</v>
      </c>
      <c r="L140" s="42">
        <f t="shared" si="437"/>
        <v>90</v>
      </c>
      <c r="M140" s="58">
        <f t="shared" ref="M140:O140" si="470">SUM(M57:M60)</f>
        <v>6</v>
      </c>
      <c r="N140" s="265">
        <f t="shared" si="470"/>
        <v>2</v>
      </c>
      <c r="O140" s="43">
        <f t="shared" si="470"/>
        <v>0</v>
      </c>
      <c r="P140" s="42">
        <f t="shared" si="439"/>
        <v>8</v>
      </c>
      <c r="Q140" s="58">
        <f t="shared" ref="Q140:S140" si="471">SUM(Q57:Q60)</f>
        <v>18</v>
      </c>
      <c r="R140" s="265">
        <f t="shared" si="471"/>
        <v>1</v>
      </c>
      <c r="S140" s="43">
        <f t="shared" si="471"/>
        <v>0</v>
      </c>
      <c r="T140" s="42">
        <f t="shared" si="441"/>
        <v>19</v>
      </c>
      <c r="U140" s="58">
        <f t="shared" ref="U140:W140" si="472">SUM(U57:U60)</f>
        <v>0</v>
      </c>
      <c r="V140" s="265">
        <f t="shared" si="472"/>
        <v>0</v>
      </c>
      <c r="W140" s="43">
        <f t="shared" si="472"/>
        <v>0</v>
      </c>
      <c r="X140" s="42">
        <f t="shared" si="443"/>
        <v>0</v>
      </c>
      <c r="Y140" s="58">
        <f t="shared" ref="Y140:AA140" si="473">SUM(Y57:Y60)</f>
        <v>11</v>
      </c>
      <c r="Z140" s="265">
        <f t="shared" si="473"/>
        <v>1</v>
      </c>
      <c r="AA140" s="43">
        <f t="shared" si="473"/>
        <v>0</v>
      </c>
      <c r="AB140" s="42">
        <f t="shared" si="445"/>
        <v>12</v>
      </c>
      <c r="AC140" s="58">
        <f t="shared" ref="AC140:AE140" si="474">SUM(AC57:AC60)</f>
        <v>57</v>
      </c>
      <c r="AD140" s="265">
        <f t="shared" si="474"/>
        <v>0</v>
      </c>
      <c r="AE140" s="43">
        <f t="shared" si="474"/>
        <v>0</v>
      </c>
      <c r="AF140" s="42">
        <f t="shared" si="447"/>
        <v>57</v>
      </c>
      <c r="AG140" s="58">
        <f t="shared" ref="AG140:AI140" si="475">SUM(AG57:AG60)</f>
        <v>88</v>
      </c>
      <c r="AH140" s="265">
        <f t="shared" si="475"/>
        <v>6</v>
      </c>
      <c r="AI140" s="43">
        <f t="shared" si="475"/>
        <v>9</v>
      </c>
      <c r="AJ140" s="42">
        <f t="shared" si="449"/>
        <v>103</v>
      </c>
      <c r="AK140" s="58">
        <f t="shared" ref="AK140:AM140" si="476">SUM(AK57:AK60)</f>
        <v>1</v>
      </c>
      <c r="AL140" s="265">
        <f t="shared" si="476"/>
        <v>1</v>
      </c>
      <c r="AM140" s="43">
        <f t="shared" si="476"/>
        <v>0</v>
      </c>
      <c r="AN140" s="42">
        <f t="shared" si="451"/>
        <v>2</v>
      </c>
      <c r="AO140" s="58">
        <f t="shared" ref="AO140:AQ140" si="477">SUM(AO57:AO60)</f>
        <v>1</v>
      </c>
      <c r="AP140" s="265">
        <f t="shared" si="477"/>
        <v>0</v>
      </c>
      <c r="AQ140" s="43">
        <f t="shared" si="477"/>
        <v>0</v>
      </c>
      <c r="AR140" s="42">
        <f t="shared" si="453"/>
        <v>1</v>
      </c>
      <c r="AS140" s="58">
        <f t="shared" ref="AS140:AU140" si="478">SUM(AS57:AS60)</f>
        <v>24</v>
      </c>
      <c r="AT140" s="265">
        <f t="shared" si="478"/>
        <v>1</v>
      </c>
      <c r="AU140" s="43">
        <f t="shared" si="478"/>
        <v>0</v>
      </c>
      <c r="AV140" s="42">
        <f t="shared" si="455"/>
        <v>25</v>
      </c>
      <c r="AW140" s="58">
        <f t="shared" ref="AW140:AY140" si="479">SUM(AW57:AW60)</f>
        <v>19</v>
      </c>
      <c r="AX140" s="265">
        <f t="shared" si="479"/>
        <v>0</v>
      </c>
      <c r="AY140" s="43">
        <f t="shared" si="479"/>
        <v>0</v>
      </c>
      <c r="AZ140" s="42">
        <f t="shared" si="457"/>
        <v>19</v>
      </c>
      <c r="BA140" s="58">
        <f t="shared" ref="BA140:BC140" si="480">SUM(BA57:BA60)</f>
        <v>9</v>
      </c>
      <c r="BB140" s="265">
        <f t="shared" si="480"/>
        <v>0</v>
      </c>
      <c r="BC140" s="43">
        <f t="shared" si="480"/>
        <v>0</v>
      </c>
      <c r="BD140" s="42">
        <f t="shared" si="459"/>
        <v>9</v>
      </c>
      <c r="BE140" s="58">
        <f t="shared" ref="BE140:BG140" si="481">SUM(BE57:BE60)</f>
        <v>2</v>
      </c>
      <c r="BF140" s="265">
        <f t="shared" si="481"/>
        <v>0</v>
      </c>
      <c r="BG140" s="43">
        <f t="shared" si="481"/>
        <v>0</v>
      </c>
      <c r="BH140" s="42">
        <f t="shared" si="461"/>
        <v>2</v>
      </c>
      <c r="BI140" s="58">
        <f t="shared" ref="BI140:BK140" si="482">SUM(BI57:BI60)</f>
        <v>0</v>
      </c>
      <c r="BJ140" s="265">
        <f t="shared" si="482"/>
        <v>0</v>
      </c>
      <c r="BK140" s="43">
        <f t="shared" si="482"/>
        <v>0</v>
      </c>
      <c r="BL140" s="42">
        <f t="shared" si="463"/>
        <v>0</v>
      </c>
      <c r="BQ140" s="83">
        <f t="shared" si="464"/>
        <v>0.26041666749999998</v>
      </c>
      <c r="BR140" s="50" t="str">
        <f>$G$13</f>
        <v>Heavies</v>
      </c>
      <c r="BS140" s="50"/>
      <c r="BT140" s="84" t="s">
        <v>29</v>
      </c>
      <c r="BU140" s="85">
        <f>'Peak Hr Summary'!AG19</f>
        <v>0.67708333916666685</v>
      </c>
      <c r="BV140" s="77">
        <f t="shared" ref="BV140:CE140" si="483">VLOOKUP($BU$140,$B$121:$AR$133,BV137)</f>
        <v>24</v>
      </c>
      <c r="BW140" s="77">
        <f t="shared" si="483"/>
        <v>288</v>
      </c>
      <c r="BX140" s="77">
        <f t="shared" si="483"/>
        <v>330</v>
      </c>
      <c r="BY140" s="77">
        <f t="shared" si="483"/>
        <v>103</v>
      </c>
      <c r="BZ140" s="255">
        <f t="shared" si="483"/>
        <v>12</v>
      </c>
      <c r="CA140" s="256">
        <f t="shared" si="483"/>
        <v>99</v>
      </c>
      <c r="CB140" s="77">
        <f t="shared" si="483"/>
        <v>35</v>
      </c>
      <c r="CC140" s="77">
        <f t="shared" si="483"/>
        <v>150</v>
      </c>
      <c r="CD140" s="77">
        <f t="shared" si="483"/>
        <v>42</v>
      </c>
      <c r="CE140" s="255">
        <f t="shared" si="483"/>
        <v>4</v>
      </c>
      <c r="CF140" s="256">
        <f t="shared" ref="CF140:CT140" si="484">VLOOKUP($BU$140,$B$153:$BL$165,CF137)</f>
        <v>85</v>
      </c>
      <c r="CG140" s="77">
        <f t="shared" si="484"/>
        <v>598</v>
      </c>
      <c r="CH140" s="77">
        <f t="shared" si="484"/>
        <v>31</v>
      </c>
      <c r="CI140" s="77">
        <f t="shared" si="484"/>
        <v>46</v>
      </c>
      <c r="CJ140" s="255">
        <f t="shared" si="484"/>
        <v>5</v>
      </c>
      <c r="CK140" s="256">
        <f t="shared" si="484"/>
        <v>33</v>
      </c>
      <c r="CL140" s="77">
        <f t="shared" si="484"/>
        <v>238</v>
      </c>
      <c r="CM140" s="77">
        <f t="shared" si="484"/>
        <v>366</v>
      </c>
      <c r="CN140" s="77">
        <f t="shared" si="484"/>
        <v>41</v>
      </c>
      <c r="CO140" s="255">
        <f t="shared" si="484"/>
        <v>9</v>
      </c>
      <c r="CP140" s="256">
        <f t="shared" si="484"/>
        <v>36</v>
      </c>
      <c r="CQ140" s="77">
        <f t="shared" si="484"/>
        <v>20</v>
      </c>
      <c r="CR140" s="77">
        <f t="shared" si="484"/>
        <v>37</v>
      </c>
      <c r="CS140" s="77">
        <f t="shared" si="484"/>
        <v>33</v>
      </c>
      <c r="CT140" s="255">
        <f t="shared" si="484"/>
        <v>0</v>
      </c>
      <c r="CU140" s="253">
        <f t="shared" ref="CU140:DD140" si="485">VLOOKUP($BU$140,$B$121:$BB$133,CU137)</f>
        <v>0</v>
      </c>
      <c r="CV140" s="70">
        <f t="shared" si="485"/>
        <v>0</v>
      </c>
      <c r="CW140" s="70">
        <f t="shared" si="485"/>
        <v>0</v>
      </c>
      <c r="CX140" s="70">
        <f t="shared" si="485"/>
        <v>0</v>
      </c>
      <c r="CY140" s="70">
        <f t="shared" si="485"/>
        <v>0</v>
      </c>
      <c r="CZ140" s="70">
        <f t="shared" si="485"/>
        <v>0</v>
      </c>
      <c r="DA140" s="70">
        <f t="shared" si="485"/>
        <v>0</v>
      </c>
      <c r="DB140" s="70">
        <f t="shared" si="485"/>
        <v>0</v>
      </c>
      <c r="DC140" s="70">
        <f t="shared" si="485"/>
        <v>0</v>
      </c>
      <c r="DD140" s="70">
        <f t="shared" si="485"/>
        <v>0</v>
      </c>
    </row>
    <row r="141" spans="2:108" s="50" customFormat="1" ht="24.95" customHeight="1">
      <c r="B141" s="37">
        <f t="shared" ref="B141:B151" si="486">SUM(0.04166667/4+B140)</f>
        <v>0.27083333499999995</v>
      </c>
      <c r="C141" s="38" t="s">
        <v>9</v>
      </c>
      <c r="D141" s="39">
        <f t="shared" ref="D141:D143" si="487">SUM(0.04166667)+B141</f>
        <v>0.31250000499999997</v>
      </c>
      <c r="E141" s="58">
        <f t="shared" si="433"/>
        <v>11</v>
      </c>
      <c r="F141" s="265">
        <f t="shared" ref="F141:G141" si="488">SUM(F58:F61)</f>
        <v>3</v>
      </c>
      <c r="G141" s="43">
        <f t="shared" si="488"/>
        <v>0</v>
      </c>
      <c r="H141" s="42">
        <f t="shared" si="435"/>
        <v>14</v>
      </c>
      <c r="I141" s="58">
        <f t="shared" ref="I141:K141" si="489">SUM(I58:I61)</f>
        <v>111</v>
      </c>
      <c r="J141" s="265">
        <f t="shared" si="489"/>
        <v>2</v>
      </c>
      <c r="K141" s="43">
        <f t="shared" si="489"/>
        <v>0</v>
      </c>
      <c r="L141" s="42">
        <f t="shared" si="437"/>
        <v>113</v>
      </c>
      <c r="M141" s="58">
        <f t="shared" ref="M141:O141" si="490">SUM(M58:M61)</f>
        <v>6</v>
      </c>
      <c r="N141" s="265">
        <f t="shared" si="490"/>
        <v>1</v>
      </c>
      <c r="O141" s="43">
        <f t="shared" si="490"/>
        <v>0</v>
      </c>
      <c r="P141" s="42">
        <f t="shared" si="439"/>
        <v>7</v>
      </c>
      <c r="Q141" s="58">
        <f t="shared" ref="Q141:S141" si="491">SUM(Q58:Q61)</f>
        <v>21</v>
      </c>
      <c r="R141" s="265">
        <f t="shared" si="491"/>
        <v>1</v>
      </c>
      <c r="S141" s="43">
        <f t="shared" si="491"/>
        <v>0</v>
      </c>
      <c r="T141" s="42">
        <f t="shared" si="441"/>
        <v>22</v>
      </c>
      <c r="U141" s="58">
        <f t="shared" ref="U141:W141" si="492">SUM(U58:U61)</f>
        <v>0</v>
      </c>
      <c r="V141" s="265">
        <f t="shared" si="492"/>
        <v>0</v>
      </c>
      <c r="W141" s="43">
        <f t="shared" si="492"/>
        <v>0</v>
      </c>
      <c r="X141" s="42">
        <f t="shared" si="443"/>
        <v>0</v>
      </c>
      <c r="Y141" s="58">
        <f t="shared" ref="Y141:AA141" si="493">SUM(Y58:Y61)</f>
        <v>13</v>
      </c>
      <c r="Z141" s="265">
        <f t="shared" si="493"/>
        <v>1</v>
      </c>
      <c r="AA141" s="43">
        <f t="shared" si="493"/>
        <v>0</v>
      </c>
      <c r="AB141" s="42">
        <f t="shared" si="445"/>
        <v>14</v>
      </c>
      <c r="AC141" s="58">
        <f t="shared" ref="AC141:AE141" si="494">SUM(AC58:AC61)</f>
        <v>77</v>
      </c>
      <c r="AD141" s="265">
        <f t="shared" si="494"/>
        <v>0</v>
      </c>
      <c r="AE141" s="43">
        <f t="shared" si="494"/>
        <v>0</v>
      </c>
      <c r="AF141" s="42">
        <f t="shared" si="447"/>
        <v>77</v>
      </c>
      <c r="AG141" s="58">
        <f t="shared" ref="AG141:AI141" si="495">SUM(AG58:AG61)</f>
        <v>93</v>
      </c>
      <c r="AH141" s="265">
        <f t="shared" si="495"/>
        <v>5</v>
      </c>
      <c r="AI141" s="43">
        <f t="shared" si="495"/>
        <v>8</v>
      </c>
      <c r="AJ141" s="42">
        <f t="shared" si="449"/>
        <v>106</v>
      </c>
      <c r="AK141" s="58">
        <f t="shared" ref="AK141:AM141" si="496">SUM(AK58:AK61)</f>
        <v>3</v>
      </c>
      <c r="AL141" s="265">
        <f t="shared" si="496"/>
        <v>1</v>
      </c>
      <c r="AM141" s="43">
        <f t="shared" si="496"/>
        <v>0</v>
      </c>
      <c r="AN141" s="42">
        <f t="shared" si="451"/>
        <v>4</v>
      </c>
      <c r="AO141" s="58">
        <f t="shared" ref="AO141:AQ141" si="497">SUM(AO58:AO61)</f>
        <v>0</v>
      </c>
      <c r="AP141" s="265">
        <f t="shared" si="497"/>
        <v>0</v>
      </c>
      <c r="AQ141" s="43">
        <f t="shared" si="497"/>
        <v>0</v>
      </c>
      <c r="AR141" s="42">
        <f t="shared" si="453"/>
        <v>0</v>
      </c>
      <c r="AS141" s="58">
        <f t="shared" ref="AS141:AU141" si="498">SUM(AS58:AS61)</f>
        <v>31</v>
      </c>
      <c r="AT141" s="265">
        <f t="shared" si="498"/>
        <v>1</v>
      </c>
      <c r="AU141" s="43">
        <f t="shared" si="498"/>
        <v>0</v>
      </c>
      <c r="AV141" s="42">
        <f t="shared" si="455"/>
        <v>32</v>
      </c>
      <c r="AW141" s="58">
        <f t="shared" ref="AW141:AY141" si="499">SUM(AW58:AW61)</f>
        <v>16</v>
      </c>
      <c r="AX141" s="265">
        <f t="shared" si="499"/>
        <v>0</v>
      </c>
      <c r="AY141" s="43">
        <f t="shared" si="499"/>
        <v>0</v>
      </c>
      <c r="AZ141" s="42">
        <f t="shared" si="457"/>
        <v>16</v>
      </c>
      <c r="BA141" s="58">
        <f t="shared" ref="BA141:BC141" si="500">SUM(BA58:BA61)</f>
        <v>17</v>
      </c>
      <c r="BB141" s="265">
        <f t="shared" si="500"/>
        <v>1</v>
      </c>
      <c r="BC141" s="43">
        <f t="shared" si="500"/>
        <v>0</v>
      </c>
      <c r="BD141" s="42">
        <f t="shared" si="459"/>
        <v>18</v>
      </c>
      <c r="BE141" s="58">
        <f t="shared" ref="BE141:BG141" si="501">SUM(BE58:BE61)</f>
        <v>3</v>
      </c>
      <c r="BF141" s="265">
        <f t="shared" si="501"/>
        <v>0</v>
      </c>
      <c r="BG141" s="43">
        <f t="shared" si="501"/>
        <v>0</v>
      </c>
      <c r="BH141" s="42">
        <f t="shared" si="461"/>
        <v>3</v>
      </c>
      <c r="BI141" s="58">
        <f t="shared" ref="BI141:BK141" si="502">SUM(BI58:BI61)</f>
        <v>0</v>
      </c>
      <c r="BJ141" s="265">
        <f t="shared" si="502"/>
        <v>0</v>
      </c>
      <c r="BK141" s="43">
        <f t="shared" si="502"/>
        <v>0</v>
      </c>
      <c r="BL141" s="42">
        <f t="shared" si="463"/>
        <v>0</v>
      </c>
      <c r="BQ141" s="83">
        <f t="shared" si="464"/>
        <v>0.27083333499999995</v>
      </c>
      <c r="BR141" s="50" t="str">
        <f>$I$13</f>
        <v>Buses</v>
      </c>
      <c r="BU141" s="78" t="s">
        <v>42</v>
      </c>
      <c r="BV141" s="257">
        <f>H120</f>
        <v>22</v>
      </c>
      <c r="BW141" s="257">
        <f>L120</f>
        <v>734</v>
      </c>
      <c r="BX141" s="257">
        <f>P120</f>
        <v>1922</v>
      </c>
      <c r="BY141" s="257">
        <f>T120</f>
        <v>222</v>
      </c>
      <c r="BZ141" s="104">
        <f>X120</f>
        <v>8</v>
      </c>
      <c r="CA141" s="257">
        <f>AB120</f>
        <v>172</v>
      </c>
      <c r="CB141" s="257">
        <f>AF120</f>
        <v>44</v>
      </c>
      <c r="CC141" s="257">
        <f>AJ120</f>
        <v>805</v>
      </c>
      <c r="CD141" s="257">
        <f>AN120</f>
        <v>332</v>
      </c>
      <c r="CE141" s="104">
        <f>AR120</f>
        <v>3</v>
      </c>
      <c r="CF141" s="257">
        <f>H152</f>
        <v>120</v>
      </c>
      <c r="CG141" s="257">
        <f>L152</f>
        <v>822</v>
      </c>
      <c r="CH141" s="257">
        <f>P152</f>
        <v>36</v>
      </c>
      <c r="CI141" s="257">
        <f>T152</f>
        <v>142</v>
      </c>
      <c r="CJ141" s="104">
        <f>X152</f>
        <v>8</v>
      </c>
      <c r="CK141" s="257">
        <f>AB152</f>
        <v>100</v>
      </c>
      <c r="CL141" s="257">
        <f>AF152</f>
        <v>470</v>
      </c>
      <c r="CM141" s="257">
        <f>AJ152</f>
        <v>710</v>
      </c>
      <c r="CN141" s="257">
        <f>AN152</f>
        <v>42</v>
      </c>
      <c r="CO141" s="104">
        <f>AR152</f>
        <v>12</v>
      </c>
      <c r="CP141" s="257">
        <f>AV152</f>
        <v>191</v>
      </c>
      <c r="CQ141" s="257">
        <f>AZ152</f>
        <v>129</v>
      </c>
      <c r="CR141" s="257">
        <f>BD152</f>
        <v>73</v>
      </c>
      <c r="CS141" s="257">
        <f>BH152</f>
        <v>28</v>
      </c>
      <c r="CT141" s="257">
        <f>BL152</f>
        <v>0</v>
      </c>
    </row>
    <row r="142" spans="2:108" s="50" customFormat="1" ht="24.95" customHeight="1">
      <c r="B142" s="30">
        <f t="shared" si="486"/>
        <v>0.28125000249999993</v>
      </c>
      <c r="C142" s="31" t="s">
        <v>9</v>
      </c>
      <c r="D142" s="32">
        <f t="shared" si="487"/>
        <v>0.32291667249999995</v>
      </c>
      <c r="E142" s="58">
        <f t="shared" si="433"/>
        <v>13</v>
      </c>
      <c r="F142" s="265">
        <f t="shared" ref="F142:G142" si="503">SUM(F59:F62)</f>
        <v>3</v>
      </c>
      <c r="G142" s="43">
        <f t="shared" si="503"/>
        <v>0</v>
      </c>
      <c r="H142" s="42">
        <f t="shared" si="435"/>
        <v>16</v>
      </c>
      <c r="I142" s="58">
        <f t="shared" ref="I142:K142" si="504">SUM(I59:I62)</f>
        <v>129</v>
      </c>
      <c r="J142" s="265">
        <f t="shared" si="504"/>
        <v>5</v>
      </c>
      <c r="K142" s="43">
        <f t="shared" si="504"/>
        <v>0</v>
      </c>
      <c r="L142" s="42">
        <f t="shared" si="437"/>
        <v>134</v>
      </c>
      <c r="M142" s="58">
        <f t="shared" ref="M142:O142" si="505">SUM(M59:M62)</f>
        <v>7</v>
      </c>
      <c r="N142" s="265">
        <f t="shared" si="505"/>
        <v>2</v>
      </c>
      <c r="O142" s="43">
        <f t="shared" si="505"/>
        <v>0</v>
      </c>
      <c r="P142" s="42">
        <f t="shared" si="439"/>
        <v>9</v>
      </c>
      <c r="Q142" s="58">
        <f t="shared" ref="Q142:S142" si="506">SUM(Q59:Q62)</f>
        <v>23</v>
      </c>
      <c r="R142" s="265">
        <f t="shared" si="506"/>
        <v>1</v>
      </c>
      <c r="S142" s="43">
        <f t="shared" si="506"/>
        <v>0</v>
      </c>
      <c r="T142" s="42">
        <f t="shared" si="441"/>
        <v>24</v>
      </c>
      <c r="U142" s="58">
        <f t="shared" ref="U142:W142" si="507">SUM(U59:U62)</f>
        <v>1</v>
      </c>
      <c r="V142" s="265">
        <f t="shared" si="507"/>
        <v>0</v>
      </c>
      <c r="W142" s="43">
        <f t="shared" si="507"/>
        <v>0</v>
      </c>
      <c r="X142" s="42">
        <f t="shared" si="443"/>
        <v>1</v>
      </c>
      <c r="Y142" s="58">
        <f t="shared" ref="Y142:AA142" si="508">SUM(Y59:Y62)</f>
        <v>11</v>
      </c>
      <c r="Z142" s="265">
        <f t="shared" si="508"/>
        <v>0</v>
      </c>
      <c r="AA142" s="43">
        <f t="shared" si="508"/>
        <v>0</v>
      </c>
      <c r="AB142" s="42">
        <f t="shared" si="445"/>
        <v>11</v>
      </c>
      <c r="AC142" s="58">
        <f t="shared" ref="AC142:AE142" si="509">SUM(AC59:AC62)</f>
        <v>92</v>
      </c>
      <c r="AD142" s="265">
        <f t="shared" si="509"/>
        <v>0</v>
      </c>
      <c r="AE142" s="43">
        <f t="shared" si="509"/>
        <v>0</v>
      </c>
      <c r="AF142" s="42">
        <f t="shared" si="447"/>
        <v>92</v>
      </c>
      <c r="AG142" s="58">
        <f t="shared" ref="AG142:AI142" si="510">SUM(AG59:AG62)</f>
        <v>100</v>
      </c>
      <c r="AH142" s="265">
        <f t="shared" si="510"/>
        <v>4</v>
      </c>
      <c r="AI142" s="43">
        <f t="shared" si="510"/>
        <v>10</v>
      </c>
      <c r="AJ142" s="42">
        <f t="shared" si="449"/>
        <v>114</v>
      </c>
      <c r="AK142" s="58">
        <f t="shared" ref="AK142:AM142" si="511">SUM(AK59:AK62)</f>
        <v>4</v>
      </c>
      <c r="AL142" s="265">
        <f t="shared" si="511"/>
        <v>0</v>
      </c>
      <c r="AM142" s="43">
        <f t="shared" si="511"/>
        <v>0</v>
      </c>
      <c r="AN142" s="42">
        <f t="shared" si="451"/>
        <v>4</v>
      </c>
      <c r="AO142" s="58">
        <f t="shared" ref="AO142:AQ142" si="512">SUM(AO59:AO62)</f>
        <v>0</v>
      </c>
      <c r="AP142" s="265">
        <f t="shared" si="512"/>
        <v>0</v>
      </c>
      <c r="AQ142" s="43">
        <f t="shared" si="512"/>
        <v>0</v>
      </c>
      <c r="AR142" s="42">
        <f t="shared" si="453"/>
        <v>0</v>
      </c>
      <c r="AS142" s="58">
        <f t="shared" ref="AS142:AU142" si="513">SUM(AS59:AS62)</f>
        <v>43</v>
      </c>
      <c r="AT142" s="265">
        <f t="shared" si="513"/>
        <v>0</v>
      </c>
      <c r="AU142" s="43">
        <f t="shared" si="513"/>
        <v>0</v>
      </c>
      <c r="AV142" s="42">
        <f t="shared" si="455"/>
        <v>43</v>
      </c>
      <c r="AW142" s="58">
        <f t="shared" ref="AW142:AY142" si="514">SUM(AW59:AW62)</f>
        <v>27</v>
      </c>
      <c r="AX142" s="265">
        <f t="shared" si="514"/>
        <v>0</v>
      </c>
      <c r="AY142" s="43">
        <f t="shared" si="514"/>
        <v>0</v>
      </c>
      <c r="AZ142" s="42">
        <f t="shared" si="457"/>
        <v>27</v>
      </c>
      <c r="BA142" s="58">
        <f t="shared" ref="BA142:BC142" si="515">SUM(BA59:BA62)</f>
        <v>24</v>
      </c>
      <c r="BB142" s="265">
        <f t="shared" si="515"/>
        <v>2</v>
      </c>
      <c r="BC142" s="43">
        <f t="shared" si="515"/>
        <v>0</v>
      </c>
      <c r="BD142" s="42">
        <f t="shared" si="459"/>
        <v>26</v>
      </c>
      <c r="BE142" s="58">
        <f t="shared" ref="BE142:BG142" si="516">SUM(BE59:BE62)</f>
        <v>6</v>
      </c>
      <c r="BF142" s="265">
        <f t="shared" si="516"/>
        <v>0</v>
      </c>
      <c r="BG142" s="43">
        <f t="shared" si="516"/>
        <v>0</v>
      </c>
      <c r="BH142" s="42">
        <f t="shared" si="461"/>
        <v>6</v>
      </c>
      <c r="BI142" s="58">
        <f t="shared" ref="BI142:BK142" si="517">SUM(BI59:BI62)</f>
        <v>0</v>
      </c>
      <c r="BJ142" s="265">
        <f t="shared" si="517"/>
        <v>0</v>
      </c>
      <c r="BK142" s="43">
        <f t="shared" si="517"/>
        <v>0</v>
      </c>
      <c r="BL142" s="42">
        <f t="shared" si="463"/>
        <v>0</v>
      </c>
      <c r="BQ142" s="83">
        <f t="shared" si="464"/>
        <v>0.28125000249999993</v>
      </c>
      <c r="BR142" s="50" t="s">
        <v>16</v>
      </c>
      <c r="BU142" s="78" t="s">
        <v>43</v>
      </c>
      <c r="BV142" s="254">
        <f>H134</f>
        <v>67</v>
      </c>
      <c r="BW142" s="254">
        <f>L134</f>
        <v>1034</v>
      </c>
      <c r="BX142" s="254">
        <f>P134</f>
        <v>1211</v>
      </c>
      <c r="BY142" s="254">
        <f>T134</f>
        <v>436</v>
      </c>
      <c r="BZ142" s="258">
        <f>X134</f>
        <v>39</v>
      </c>
      <c r="CA142" s="254">
        <f>AB134</f>
        <v>344</v>
      </c>
      <c r="CB142" s="254">
        <f>AF134</f>
        <v>144</v>
      </c>
      <c r="CC142" s="254">
        <f>AJ134</f>
        <v>619</v>
      </c>
      <c r="CD142" s="254">
        <f>AN134</f>
        <v>182</v>
      </c>
      <c r="CE142" s="258">
        <f>AR134</f>
        <v>18</v>
      </c>
      <c r="CF142" s="254">
        <f>H166</f>
        <v>312</v>
      </c>
      <c r="CG142" s="254">
        <f>L166</f>
        <v>2071</v>
      </c>
      <c r="CH142" s="254">
        <f>P166</f>
        <v>123</v>
      </c>
      <c r="CI142" s="254">
        <f>T166</f>
        <v>156</v>
      </c>
      <c r="CJ142" s="258">
        <f>X166</f>
        <v>10</v>
      </c>
      <c r="CK142" s="254">
        <f>AB166</f>
        <v>149</v>
      </c>
      <c r="CL142" s="254">
        <f>AF166</f>
        <v>903</v>
      </c>
      <c r="CM142" s="254">
        <f>AJ166</f>
        <v>1316</v>
      </c>
      <c r="CN142" s="254">
        <f>AN166</f>
        <v>163</v>
      </c>
      <c r="CO142" s="258">
        <f>AR166</f>
        <v>42</v>
      </c>
      <c r="CP142" s="254">
        <f>AV166</f>
        <v>139</v>
      </c>
      <c r="CQ142" s="254">
        <f>AZ166</f>
        <v>80</v>
      </c>
      <c r="CR142" s="254">
        <f>BD166</f>
        <v>107</v>
      </c>
      <c r="CS142" s="254">
        <f>BH166</f>
        <v>110</v>
      </c>
      <c r="CT142" s="254">
        <f>BL166</f>
        <v>1</v>
      </c>
    </row>
    <row r="143" spans="2:108" s="50" customFormat="1" ht="24.95" customHeight="1">
      <c r="B143" s="37">
        <f t="shared" si="486"/>
        <v>0.29166666999999991</v>
      </c>
      <c r="C143" s="38" t="s">
        <v>9</v>
      </c>
      <c r="D143" s="47">
        <f t="shared" si="487"/>
        <v>0.33333333999999992</v>
      </c>
      <c r="E143" s="58">
        <f t="shared" si="433"/>
        <v>18</v>
      </c>
      <c r="F143" s="265">
        <f t="shared" ref="F143:G143" si="518">SUM(F60:F63)</f>
        <v>1</v>
      </c>
      <c r="G143" s="43">
        <f t="shared" si="518"/>
        <v>0</v>
      </c>
      <c r="H143" s="42">
        <f t="shared" si="435"/>
        <v>19</v>
      </c>
      <c r="I143" s="58">
        <f t="shared" ref="I143:K143" si="519">SUM(I60:I63)</f>
        <v>157</v>
      </c>
      <c r="J143" s="265">
        <f t="shared" si="519"/>
        <v>7</v>
      </c>
      <c r="K143" s="43">
        <f t="shared" si="519"/>
        <v>0</v>
      </c>
      <c r="L143" s="42">
        <f t="shared" si="437"/>
        <v>164</v>
      </c>
      <c r="M143" s="58">
        <f t="shared" ref="M143:O143" si="520">SUM(M60:M63)</f>
        <v>5</v>
      </c>
      <c r="N143" s="265">
        <f t="shared" si="520"/>
        <v>1</v>
      </c>
      <c r="O143" s="43">
        <f t="shared" si="520"/>
        <v>0</v>
      </c>
      <c r="P143" s="42">
        <f t="shared" si="439"/>
        <v>6</v>
      </c>
      <c r="Q143" s="58">
        <f t="shared" ref="Q143:S143" si="521">SUM(Q60:Q63)</f>
        <v>27</v>
      </c>
      <c r="R143" s="265">
        <f t="shared" si="521"/>
        <v>2</v>
      </c>
      <c r="S143" s="43">
        <f t="shared" si="521"/>
        <v>0</v>
      </c>
      <c r="T143" s="42">
        <f t="shared" si="441"/>
        <v>29</v>
      </c>
      <c r="U143" s="58">
        <f t="shared" ref="U143:W143" si="522">SUM(U60:U63)</f>
        <v>1</v>
      </c>
      <c r="V143" s="265">
        <f t="shared" si="522"/>
        <v>0</v>
      </c>
      <c r="W143" s="43">
        <f t="shared" si="522"/>
        <v>0</v>
      </c>
      <c r="X143" s="42">
        <f t="shared" si="443"/>
        <v>1</v>
      </c>
      <c r="Y143" s="58">
        <f t="shared" ref="Y143:AA143" si="523">SUM(Y60:Y63)</f>
        <v>14</v>
      </c>
      <c r="Z143" s="265">
        <f t="shared" si="523"/>
        <v>1</v>
      </c>
      <c r="AA143" s="43">
        <f t="shared" si="523"/>
        <v>0</v>
      </c>
      <c r="AB143" s="42">
        <f t="shared" si="445"/>
        <v>15</v>
      </c>
      <c r="AC143" s="58">
        <f t="shared" ref="AC143:AE143" si="524">SUM(AC60:AC63)</f>
        <v>116</v>
      </c>
      <c r="AD143" s="265">
        <f t="shared" si="524"/>
        <v>1</v>
      </c>
      <c r="AE143" s="43">
        <f t="shared" si="524"/>
        <v>0</v>
      </c>
      <c r="AF143" s="42">
        <f t="shared" si="447"/>
        <v>117</v>
      </c>
      <c r="AG143" s="58">
        <f t="shared" ref="AG143:AI143" si="525">SUM(AG60:AG63)</f>
        <v>102</v>
      </c>
      <c r="AH143" s="265">
        <f t="shared" si="525"/>
        <v>6</v>
      </c>
      <c r="AI143" s="43">
        <f t="shared" si="525"/>
        <v>12</v>
      </c>
      <c r="AJ143" s="42">
        <f t="shared" si="449"/>
        <v>120</v>
      </c>
      <c r="AK143" s="58">
        <f t="shared" ref="AK143:AM143" si="526">SUM(AK60:AK63)</f>
        <v>4</v>
      </c>
      <c r="AL143" s="265">
        <f t="shared" si="526"/>
        <v>0</v>
      </c>
      <c r="AM143" s="43">
        <f t="shared" si="526"/>
        <v>0</v>
      </c>
      <c r="AN143" s="42">
        <f t="shared" si="451"/>
        <v>4</v>
      </c>
      <c r="AO143" s="58">
        <f t="shared" ref="AO143:AQ143" si="527">SUM(AO60:AO63)</f>
        <v>0</v>
      </c>
      <c r="AP143" s="265">
        <f t="shared" si="527"/>
        <v>0</v>
      </c>
      <c r="AQ143" s="43">
        <f t="shared" si="527"/>
        <v>0</v>
      </c>
      <c r="AR143" s="42">
        <f t="shared" si="453"/>
        <v>0</v>
      </c>
      <c r="AS143" s="58">
        <f t="shared" ref="AS143:AU143" si="528">SUM(AS60:AS63)</f>
        <v>72</v>
      </c>
      <c r="AT143" s="265">
        <f t="shared" si="528"/>
        <v>0</v>
      </c>
      <c r="AU143" s="43">
        <f t="shared" si="528"/>
        <v>0</v>
      </c>
      <c r="AV143" s="42">
        <f t="shared" si="455"/>
        <v>72</v>
      </c>
      <c r="AW143" s="58">
        <f t="shared" ref="AW143:AY143" si="529">SUM(AW60:AW63)</f>
        <v>30</v>
      </c>
      <c r="AX143" s="265">
        <f t="shared" si="529"/>
        <v>2</v>
      </c>
      <c r="AY143" s="43">
        <f t="shared" si="529"/>
        <v>0</v>
      </c>
      <c r="AZ143" s="42">
        <f t="shared" si="457"/>
        <v>32</v>
      </c>
      <c r="BA143" s="58">
        <f t="shared" ref="BA143:BC143" si="530">SUM(BA60:BA63)</f>
        <v>25</v>
      </c>
      <c r="BB143" s="265">
        <f t="shared" si="530"/>
        <v>2</v>
      </c>
      <c r="BC143" s="43">
        <f t="shared" si="530"/>
        <v>0</v>
      </c>
      <c r="BD143" s="42">
        <f t="shared" si="459"/>
        <v>27</v>
      </c>
      <c r="BE143" s="58">
        <f t="shared" ref="BE143:BG143" si="531">SUM(BE60:BE63)</f>
        <v>7</v>
      </c>
      <c r="BF143" s="265">
        <f t="shared" si="531"/>
        <v>0</v>
      </c>
      <c r="BG143" s="43">
        <f t="shared" si="531"/>
        <v>0</v>
      </c>
      <c r="BH143" s="42">
        <f t="shared" si="461"/>
        <v>7</v>
      </c>
      <c r="BI143" s="58">
        <f t="shared" ref="BI143:BK143" si="532">SUM(BI60:BI63)</f>
        <v>0</v>
      </c>
      <c r="BJ143" s="265">
        <f t="shared" si="532"/>
        <v>0</v>
      </c>
      <c r="BK143" s="43">
        <f t="shared" si="532"/>
        <v>0</v>
      </c>
      <c r="BL143" s="42">
        <f t="shared" si="463"/>
        <v>0</v>
      </c>
      <c r="BQ143" s="83">
        <f t="shared" si="464"/>
        <v>0.29166666999999991</v>
      </c>
    </row>
    <row r="144" spans="2:108" s="50" customFormat="1" ht="24.95" customHeight="1">
      <c r="B144" s="37">
        <f t="shared" si="486"/>
        <v>0.30208333749999988</v>
      </c>
      <c r="C144" s="38" t="s">
        <v>9</v>
      </c>
      <c r="D144" s="47">
        <f t="shared" ref="D144" si="533">SUM(0.04166667)+B144</f>
        <v>0.3437500074999999</v>
      </c>
      <c r="E144" s="58">
        <f t="shared" si="433"/>
        <v>27</v>
      </c>
      <c r="F144" s="265">
        <f t="shared" ref="F144:G144" si="534">SUM(F61:F64)</f>
        <v>1</v>
      </c>
      <c r="G144" s="43">
        <f t="shared" si="534"/>
        <v>0</v>
      </c>
      <c r="H144" s="42">
        <f t="shared" si="435"/>
        <v>28</v>
      </c>
      <c r="I144" s="58">
        <f t="shared" ref="I144:K144" si="535">SUM(I61:I64)</f>
        <v>181</v>
      </c>
      <c r="J144" s="265">
        <f t="shared" si="535"/>
        <v>6</v>
      </c>
      <c r="K144" s="43">
        <f t="shared" si="535"/>
        <v>1</v>
      </c>
      <c r="L144" s="42">
        <f t="shared" si="437"/>
        <v>188</v>
      </c>
      <c r="M144" s="58">
        <f t="shared" ref="M144:O144" si="536">SUM(M61:M64)</f>
        <v>4</v>
      </c>
      <c r="N144" s="265">
        <f t="shared" si="536"/>
        <v>1</v>
      </c>
      <c r="O144" s="43">
        <f t="shared" si="536"/>
        <v>0</v>
      </c>
      <c r="P144" s="42">
        <f t="shared" si="439"/>
        <v>5</v>
      </c>
      <c r="Q144" s="58">
        <f t="shared" ref="Q144:S144" si="537">SUM(Q61:Q64)</f>
        <v>31</v>
      </c>
      <c r="R144" s="265">
        <f t="shared" si="537"/>
        <v>1</v>
      </c>
      <c r="S144" s="43">
        <f t="shared" si="537"/>
        <v>0</v>
      </c>
      <c r="T144" s="42">
        <f t="shared" si="441"/>
        <v>32</v>
      </c>
      <c r="U144" s="58">
        <f t="shared" ref="U144:W144" si="538">SUM(U61:U64)</f>
        <v>3</v>
      </c>
      <c r="V144" s="265">
        <f t="shared" si="538"/>
        <v>0</v>
      </c>
      <c r="W144" s="43">
        <f t="shared" si="538"/>
        <v>0</v>
      </c>
      <c r="X144" s="42">
        <f t="shared" si="443"/>
        <v>3</v>
      </c>
      <c r="Y144" s="58">
        <f t="shared" ref="Y144:AA144" si="539">SUM(Y61:Y64)</f>
        <v>16</v>
      </c>
      <c r="Z144" s="265">
        <f t="shared" si="539"/>
        <v>2</v>
      </c>
      <c r="AA144" s="43">
        <f t="shared" si="539"/>
        <v>0</v>
      </c>
      <c r="AB144" s="42">
        <f t="shared" si="445"/>
        <v>18</v>
      </c>
      <c r="AC144" s="58">
        <f t="shared" ref="AC144:AE144" si="540">SUM(AC61:AC64)</f>
        <v>138</v>
      </c>
      <c r="AD144" s="265">
        <f t="shared" si="540"/>
        <v>1</v>
      </c>
      <c r="AE144" s="43">
        <f t="shared" si="540"/>
        <v>0</v>
      </c>
      <c r="AF144" s="42">
        <f t="shared" si="447"/>
        <v>139</v>
      </c>
      <c r="AG144" s="58">
        <f t="shared" ref="AG144:AI144" si="541">SUM(AG61:AG64)</f>
        <v>115</v>
      </c>
      <c r="AH144" s="265">
        <f t="shared" si="541"/>
        <v>7</v>
      </c>
      <c r="AI144" s="43">
        <f t="shared" si="541"/>
        <v>16</v>
      </c>
      <c r="AJ144" s="42">
        <f t="shared" si="449"/>
        <v>138</v>
      </c>
      <c r="AK144" s="58">
        <f t="shared" ref="AK144:AM144" si="542">SUM(AK61:AK64)</f>
        <v>5</v>
      </c>
      <c r="AL144" s="265">
        <f t="shared" si="542"/>
        <v>0</v>
      </c>
      <c r="AM144" s="43">
        <f t="shared" si="542"/>
        <v>0</v>
      </c>
      <c r="AN144" s="42">
        <f t="shared" si="451"/>
        <v>5</v>
      </c>
      <c r="AO144" s="58">
        <f t="shared" ref="AO144:AQ144" si="543">SUM(AO61:AO64)</f>
        <v>0</v>
      </c>
      <c r="AP144" s="265">
        <f t="shared" si="543"/>
        <v>0</v>
      </c>
      <c r="AQ144" s="43">
        <f t="shared" si="543"/>
        <v>0</v>
      </c>
      <c r="AR144" s="42">
        <f t="shared" si="453"/>
        <v>0</v>
      </c>
      <c r="AS144" s="58">
        <f t="shared" ref="AS144:AU144" si="544">SUM(AS61:AS64)</f>
        <v>97</v>
      </c>
      <c r="AT144" s="265">
        <f t="shared" si="544"/>
        <v>0</v>
      </c>
      <c r="AU144" s="43">
        <f t="shared" si="544"/>
        <v>0</v>
      </c>
      <c r="AV144" s="42">
        <f t="shared" si="455"/>
        <v>97</v>
      </c>
      <c r="AW144" s="58">
        <f t="shared" ref="AW144:AY144" si="545">SUM(AW61:AW64)</f>
        <v>58</v>
      </c>
      <c r="AX144" s="265">
        <f t="shared" si="545"/>
        <v>2</v>
      </c>
      <c r="AY144" s="43">
        <f t="shared" si="545"/>
        <v>0</v>
      </c>
      <c r="AZ144" s="42">
        <f t="shared" si="457"/>
        <v>60</v>
      </c>
      <c r="BA144" s="58">
        <f t="shared" ref="BA144:BC144" si="546">SUM(BA61:BA64)</f>
        <v>28</v>
      </c>
      <c r="BB144" s="265">
        <f t="shared" si="546"/>
        <v>2</v>
      </c>
      <c r="BC144" s="43">
        <f t="shared" si="546"/>
        <v>0</v>
      </c>
      <c r="BD144" s="42">
        <f t="shared" si="459"/>
        <v>30</v>
      </c>
      <c r="BE144" s="58">
        <f t="shared" ref="BE144:BG144" si="547">SUM(BE61:BE64)</f>
        <v>6</v>
      </c>
      <c r="BF144" s="265">
        <f t="shared" si="547"/>
        <v>0</v>
      </c>
      <c r="BG144" s="43">
        <f t="shared" si="547"/>
        <v>0</v>
      </c>
      <c r="BH144" s="42">
        <f t="shared" si="461"/>
        <v>6</v>
      </c>
      <c r="BI144" s="58">
        <f t="shared" ref="BI144:BK144" si="548">SUM(BI61:BI64)</f>
        <v>0</v>
      </c>
      <c r="BJ144" s="265">
        <f t="shared" si="548"/>
        <v>0</v>
      </c>
      <c r="BK144" s="43">
        <f t="shared" si="548"/>
        <v>0</v>
      </c>
      <c r="BL144" s="42">
        <f t="shared" si="463"/>
        <v>0</v>
      </c>
      <c r="BQ144" s="83">
        <f t="shared" si="464"/>
        <v>0.30208333749999988</v>
      </c>
    </row>
    <row r="145" spans="2:69" s="50" customFormat="1" ht="24.95" customHeight="1">
      <c r="B145" s="37">
        <f t="shared" si="486"/>
        <v>0.31250000499999986</v>
      </c>
      <c r="C145" s="38" t="s">
        <v>9</v>
      </c>
      <c r="D145" s="47">
        <f t="shared" ref="D145:D151" si="549">SUM(0.04166667)+B145</f>
        <v>0.35416667499999988</v>
      </c>
      <c r="E145" s="58">
        <f t="shared" ref="E145" si="550">SUM(E62:E65)</f>
        <v>35</v>
      </c>
      <c r="F145" s="265">
        <f t="shared" ref="F145:G145" si="551">SUM(F62:F65)</f>
        <v>0</v>
      </c>
      <c r="G145" s="43">
        <f t="shared" si="551"/>
        <v>0</v>
      </c>
      <c r="H145" s="42">
        <f t="shared" ref="H145:H151" si="552">SUM(E145:G145)</f>
        <v>35</v>
      </c>
      <c r="I145" s="58">
        <f t="shared" ref="I145:K145" si="553">SUM(I62:I65)</f>
        <v>217</v>
      </c>
      <c r="J145" s="265">
        <f t="shared" si="553"/>
        <v>6</v>
      </c>
      <c r="K145" s="43">
        <f t="shared" si="553"/>
        <v>1</v>
      </c>
      <c r="L145" s="42">
        <f t="shared" ref="L145:L151" si="554">SUM(I145:K145)</f>
        <v>224</v>
      </c>
      <c r="M145" s="58">
        <f t="shared" ref="M145:O145" si="555">SUM(M62:M65)</f>
        <v>5</v>
      </c>
      <c r="N145" s="265">
        <f t="shared" si="555"/>
        <v>1</v>
      </c>
      <c r="O145" s="43">
        <f t="shared" si="555"/>
        <v>0</v>
      </c>
      <c r="P145" s="42">
        <f t="shared" ref="P145:P151" si="556">SUM(M145:O145)</f>
        <v>6</v>
      </c>
      <c r="Q145" s="58">
        <f t="shared" ref="Q145:S145" si="557">SUM(Q62:Q65)</f>
        <v>40</v>
      </c>
      <c r="R145" s="265">
        <f t="shared" si="557"/>
        <v>1</v>
      </c>
      <c r="S145" s="43">
        <f t="shared" si="557"/>
        <v>0</v>
      </c>
      <c r="T145" s="42">
        <f t="shared" si="441"/>
        <v>41</v>
      </c>
      <c r="U145" s="58">
        <f t="shared" ref="U145:W145" si="558">SUM(U62:U65)</f>
        <v>3</v>
      </c>
      <c r="V145" s="265">
        <f t="shared" si="558"/>
        <v>0</v>
      </c>
      <c r="W145" s="43">
        <f t="shared" si="558"/>
        <v>0</v>
      </c>
      <c r="X145" s="42">
        <f t="shared" ref="X145:X151" si="559">SUM(U145:W145)</f>
        <v>3</v>
      </c>
      <c r="Y145" s="58">
        <f t="shared" ref="Y145:AA145" si="560">SUM(Y62:Y65)</f>
        <v>19</v>
      </c>
      <c r="Z145" s="265">
        <f t="shared" si="560"/>
        <v>2</v>
      </c>
      <c r="AA145" s="43">
        <f t="shared" si="560"/>
        <v>0</v>
      </c>
      <c r="AB145" s="42">
        <f t="shared" ref="AB145:AB151" si="561">SUM(Y145:AA145)</f>
        <v>21</v>
      </c>
      <c r="AC145" s="58">
        <f t="shared" ref="AC145:AE145" si="562">SUM(AC62:AC65)</f>
        <v>143</v>
      </c>
      <c r="AD145" s="265">
        <f t="shared" si="562"/>
        <v>1</v>
      </c>
      <c r="AE145" s="43">
        <f t="shared" si="562"/>
        <v>0</v>
      </c>
      <c r="AF145" s="42">
        <f t="shared" ref="AF145:AF151" si="563">SUM(AC145:AE145)</f>
        <v>144</v>
      </c>
      <c r="AG145" s="58">
        <f t="shared" ref="AG145:AI145" si="564">SUM(AG62:AG65)</f>
        <v>146</v>
      </c>
      <c r="AH145" s="265">
        <f t="shared" si="564"/>
        <v>7</v>
      </c>
      <c r="AI145" s="43">
        <f t="shared" si="564"/>
        <v>23</v>
      </c>
      <c r="AJ145" s="42">
        <f t="shared" ref="AJ145:AJ151" si="565">SUM(AG145:AI145)</f>
        <v>176</v>
      </c>
      <c r="AK145" s="58">
        <f t="shared" ref="AK145:AM145" si="566">SUM(AK62:AK65)</f>
        <v>6</v>
      </c>
      <c r="AL145" s="265">
        <f t="shared" si="566"/>
        <v>0</v>
      </c>
      <c r="AM145" s="43">
        <f t="shared" si="566"/>
        <v>0</v>
      </c>
      <c r="AN145" s="42">
        <f t="shared" si="451"/>
        <v>6</v>
      </c>
      <c r="AO145" s="58">
        <f t="shared" ref="AO145:AQ145" si="567">SUM(AO62:AO65)</f>
        <v>1</v>
      </c>
      <c r="AP145" s="265">
        <f t="shared" si="567"/>
        <v>0</v>
      </c>
      <c r="AQ145" s="43">
        <f t="shared" si="567"/>
        <v>0</v>
      </c>
      <c r="AR145" s="42">
        <f t="shared" ref="AR145:AR151" si="568">SUM(AO145:AQ145)</f>
        <v>1</v>
      </c>
      <c r="AS145" s="58">
        <f t="shared" ref="AS145:AU145" si="569">SUM(AS62:AS65)</f>
        <v>109</v>
      </c>
      <c r="AT145" s="265">
        <f t="shared" si="569"/>
        <v>0</v>
      </c>
      <c r="AU145" s="43">
        <f t="shared" si="569"/>
        <v>0</v>
      </c>
      <c r="AV145" s="42">
        <f t="shared" si="455"/>
        <v>109</v>
      </c>
      <c r="AW145" s="58">
        <f t="shared" ref="AW145:AY145" si="570">SUM(AW62:AW65)</f>
        <v>71</v>
      </c>
      <c r="AX145" s="265">
        <f t="shared" si="570"/>
        <v>2</v>
      </c>
      <c r="AY145" s="43">
        <f t="shared" si="570"/>
        <v>0</v>
      </c>
      <c r="AZ145" s="42">
        <f t="shared" si="457"/>
        <v>73</v>
      </c>
      <c r="BA145" s="58">
        <f t="shared" ref="BA145:BC145" si="571">SUM(BA62:BA65)</f>
        <v>28</v>
      </c>
      <c r="BB145" s="265">
        <f t="shared" si="571"/>
        <v>1</v>
      </c>
      <c r="BC145" s="43">
        <f t="shared" si="571"/>
        <v>0</v>
      </c>
      <c r="BD145" s="42">
        <f t="shared" si="459"/>
        <v>29</v>
      </c>
      <c r="BE145" s="58">
        <f t="shared" ref="BE145:BG145" si="572">SUM(BE62:BE65)</f>
        <v>9</v>
      </c>
      <c r="BF145" s="265">
        <f t="shared" si="572"/>
        <v>0</v>
      </c>
      <c r="BG145" s="43">
        <f t="shared" si="572"/>
        <v>0</v>
      </c>
      <c r="BH145" s="42">
        <f t="shared" si="461"/>
        <v>9</v>
      </c>
      <c r="BI145" s="58">
        <f t="shared" ref="BI145:BK145" si="573">SUM(BI62:BI65)</f>
        <v>0</v>
      </c>
      <c r="BJ145" s="265">
        <f t="shared" si="573"/>
        <v>0</v>
      </c>
      <c r="BK145" s="43">
        <f t="shared" si="573"/>
        <v>0</v>
      </c>
      <c r="BL145" s="42">
        <f t="shared" si="463"/>
        <v>0</v>
      </c>
      <c r="BQ145" s="83">
        <f t="shared" si="464"/>
        <v>0.31250000499999986</v>
      </c>
    </row>
    <row r="146" spans="2:69" s="50" customFormat="1" ht="24.95" customHeight="1">
      <c r="B146" s="37">
        <f t="shared" si="486"/>
        <v>0.32291667249999984</v>
      </c>
      <c r="C146" s="38" t="s">
        <v>9</v>
      </c>
      <c r="D146" s="47">
        <f t="shared" si="549"/>
        <v>0.36458334249999985</v>
      </c>
      <c r="E146" s="58">
        <f t="shared" ref="E146" si="574">SUM(E63:E66)</f>
        <v>44</v>
      </c>
      <c r="F146" s="265">
        <f t="shared" ref="F146:G146" si="575">SUM(F63:F66)</f>
        <v>1</v>
      </c>
      <c r="G146" s="43">
        <f t="shared" si="575"/>
        <v>0</v>
      </c>
      <c r="H146" s="42">
        <f t="shared" si="552"/>
        <v>45</v>
      </c>
      <c r="I146" s="58">
        <f t="shared" ref="I146:K146" si="576">SUM(I63:I66)</f>
        <v>244</v>
      </c>
      <c r="J146" s="265">
        <f t="shared" si="576"/>
        <v>5</v>
      </c>
      <c r="K146" s="43">
        <f t="shared" si="576"/>
        <v>1</v>
      </c>
      <c r="L146" s="42">
        <f t="shared" si="554"/>
        <v>250</v>
      </c>
      <c r="M146" s="58">
        <f t="shared" ref="M146:O146" si="577">SUM(M63:M66)</f>
        <v>6</v>
      </c>
      <c r="N146" s="265">
        <f t="shared" si="577"/>
        <v>0</v>
      </c>
      <c r="O146" s="43">
        <f t="shared" si="577"/>
        <v>0</v>
      </c>
      <c r="P146" s="42">
        <f t="shared" si="556"/>
        <v>6</v>
      </c>
      <c r="Q146" s="58">
        <f t="shared" ref="Q146:S146" si="578">SUM(Q63:Q66)</f>
        <v>46</v>
      </c>
      <c r="R146" s="265">
        <f t="shared" si="578"/>
        <v>1</v>
      </c>
      <c r="S146" s="43">
        <f t="shared" si="578"/>
        <v>0</v>
      </c>
      <c r="T146" s="42">
        <f t="shared" si="441"/>
        <v>47</v>
      </c>
      <c r="U146" s="58">
        <f t="shared" ref="U146:W146" si="579">SUM(U63:U66)</f>
        <v>3</v>
      </c>
      <c r="V146" s="265">
        <f t="shared" si="579"/>
        <v>0</v>
      </c>
      <c r="W146" s="43">
        <f t="shared" si="579"/>
        <v>0</v>
      </c>
      <c r="X146" s="42">
        <f t="shared" si="559"/>
        <v>3</v>
      </c>
      <c r="Y146" s="58">
        <f t="shared" ref="Y146:AA146" si="580">SUM(Y63:Y66)</f>
        <v>31</v>
      </c>
      <c r="Z146" s="265">
        <f t="shared" si="580"/>
        <v>2</v>
      </c>
      <c r="AA146" s="43">
        <f t="shared" si="580"/>
        <v>0</v>
      </c>
      <c r="AB146" s="42">
        <f t="shared" si="561"/>
        <v>33</v>
      </c>
      <c r="AC146" s="58">
        <f t="shared" ref="AC146:AE146" si="581">SUM(AC63:AC66)</f>
        <v>151</v>
      </c>
      <c r="AD146" s="265">
        <f t="shared" si="581"/>
        <v>2</v>
      </c>
      <c r="AE146" s="43">
        <f t="shared" si="581"/>
        <v>0</v>
      </c>
      <c r="AF146" s="42">
        <f t="shared" si="563"/>
        <v>153</v>
      </c>
      <c r="AG146" s="58">
        <f t="shared" ref="AG146:AI146" si="582">SUM(AG63:AG66)</f>
        <v>179</v>
      </c>
      <c r="AH146" s="265">
        <f t="shared" si="582"/>
        <v>8</v>
      </c>
      <c r="AI146" s="43">
        <f t="shared" si="582"/>
        <v>24</v>
      </c>
      <c r="AJ146" s="42">
        <f t="shared" si="565"/>
        <v>211</v>
      </c>
      <c r="AK146" s="58">
        <f t="shared" ref="AK146:AM146" si="583">SUM(AK63:AK66)</f>
        <v>7</v>
      </c>
      <c r="AL146" s="265">
        <f t="shared" si="583"/>
        <v>0</v>
      </c>
      <c r="AM146" s="43">
        <f t="shared" si="583"/>
        <v>0</v>
      </c>
      <c r="AN146" s="42">
        <f t="shared" si="451"/>
        <v>7</v>
      </c>
      <c r="AO146" s="58">
        <f t="shared" ref="AO146:AQ146" si="584">SUM(AO63:AO66)</f>
        <v>1</v>
      </c>
      <c r="AP146" s="265">
        <f t="shared" si="584"/>
        <v>0</v>
      </c>
      <c r="AQ146" s="43">
        <f t="shared" si="584"/>
        <v>0</v>
      </c>
      <c r="AR146" s="42">
        <f t="shared" si="568"/>
        <v>1</v>
      </c>
      <c r="AS146" s="58">
        <f t="shared" ref="AS146:AU146" si="585">SUM(AS63:AS66)</f>
        <v>101</v>
      </c>
      <c r="AT146" s="265">
        <f t="shared" si="585"/>
        <v>0</v>
      </c>
      <c r="AU146" s="43">
        <f t="shared" si="585"/>
        <v>0</v>
      </c>
      <c r="AV146" s="42">
        <f t="shared" si="455"/>
        <v>101</v>
      </c>
      <c r="AW146" s="58">
        <f t="shared" ref="AW146:AY146" si="586">SUM(AW63:AW66)</f>
        <v>63</v>
      </c>
      <c r="AX146" s="265">
        <f t="shared" si="586"/>
        <v>2</v>
      </c>
      <c r="AY146" s="43">
        <f t="shared" si="586"/>
        <v>0</v>
      </c>
      <c r="AZ146" s="42">
        <f t="shared" si="457"/>
        <v>65</v>
      </c>
      <c r="BA146" s="58">
        <f t="shared" ref="BA146:BC146" si="587">SUM(BA63:BA66)</f>
        <v>25</v>
      </c>
      <c r="BB146" s="265">
        <f t="shared" si="587"/>
        <v>0</v>
      </c>
      <c r="BC146" s="43">
        <f t="shared" si="587"/>
        <v>0</v>
      </c>
      <c r="BD146" s="42">
        <f t="shared" si="459"/>
        <v>25</v>
      </c>
      <c r="BE146" s="58">
        <f t="shared" ref="BE146:BG146" si="588">SUM(BE63:BE66)</f>
        <v>10</v>
      </c>
      <c r="BF146" s="265">
        <f t="shared" si="588"/>
        <v>0</v>
      </c>
      <c r="BG146" s="43">
        <f t="shared" si="588"/>
        <v>0</v>
      </c>
      <c r="BH146" s="42">
        <f t="shared" si="461"/>
        <v>10</v>
      </c>
      <c r="BI146" s="58">
        <f t="shared" ref="BI146:BK146" si="589">SUM(BI63:BI66)</f>
        <v>0</v>
      </c>
      <c r="BJ146" s="265">
        <f t="shared" si="589"/>
        <v>0</v>
      </c>
      <c r="BK146" s="43">
        <f t="shared" si="589"/>
        <v>0</v>
      </c>
      <c r="BL146" s="42">
        <f t="shared" si="463"/>
        <v>0</v>
      </c>
      <c r="BQ146" s="83">
        <f t="shared" ref="BQ146:BQ166" si="590">+B114</f>
        <v>0.32291667249999984</v>
      </c>
    </row>
    <row r="147" spans="2:69" s="50" customFormat="1" ht="24.95" customHeight="1">
      <c r="B147" s="37">
        <f t="shared" si="486"/>
        <v>0.33333333999999981</v>
      </c>
      <c r="C147" s="38" t="s">
        <v>9</v>
      </c>
      <c r="D147" s="47">
        <f t="shared" si="549"/>
        <v>0.37500000999999983</v>
      </c>
      <c r="E147" s="58">
        <f t="shared" ref="E147" si="591">SUM(E64:E67)</f>
        <v>53</v>
      </c>
      <c r="F147" s="265">
        <f t="shared" ref="F147:G147" si="592">SUM(F64:F67)</f>
        <v>1</v>
      </c>
      <c r="G147" s="43">
        <f t="shared" si="592"/>
        <v>0</v>
      </c>
      <c r="H147" s="42">
        <f t="shared" si="552"/>
        <v>54</v>
      </c>
      <c r="I147" s="58">
        <f t="shared" ref="I147:K147" si="593">SUM(I64:I67)</f>
        <v>277</v>
      </c>
      <c r="J147" s="265">
        <f t="shared" si="593"/>
        <v>5</v>
      </c>
      <c r="K147" s="43">
        <f t="shared" si="593"/>
        <v>1</v>
      </c>
      <c r="L147" s="42">
        <f t="shared" si="554"/>
        <v>283</v>
      </c>
      <c r="M147" s="58">
        <f t="shared" ref="M147:O147" si="594">SUM(M64:M67)</f>
        <v>8</v>
      </c>
      <c r="N147" s="265">
        <f t="shared" si="594"/>
        <v>0</v>
      </c>
      <c r="O147" s="43">
        <f t="shared" si="594"/>
        <v>0</v>
      </c>
      <c r="P147" s="42">
        <f t="shared" si="556"/>
        <v>8</v>
      </c>
      <c r="Q147" s="58">
        <f t="shared" ref="Q147:S147" si="595">SUM(Q64:Q67)</f>
        <v>57</v>
      </c>
      <c r="R147" s="265">
        <f t="shared" si="595"/>
        <v>0</v>
      </c>
      <c r="S147" s="43">
        <f t="shared" si="595"/>
        <v>0</v>
      </c>
      <c r="T147" s="42">
        <f t="shared" si="441"/>
        <v>57</v>
      </c>
      <c r="U147" s="58">
        <f t="shared" ref="U147:W147" si="596">SUM(U64:U67)</f>
        <v>4</v>
      </c>
      <c r="V147" s="265">
        <f t="shared" si="596"/>
        <v>0</v>
      </c>
      <c r="W147" s="43">
        <f t="shared" si="596"/>
        <v>0</v>
      </c>
      <c r="X147" s="42">
        <f t="shared" si="559"/>
        <v>4</v>
      </c>
      <c r="Y147" s="58">
        <f t="shared" ref="Y147:AA147" si="597">SUM(Y64:Y67)</f>
        <v>37</v>
      </c>
      <c r="Z147" s="265">
        <f t="shared" si="597"/>
        <v>1</v>
      </c>
      <c r="AA147" s="43">
        <f t="shared" si="597"/>
        <v>0</v>
      </c>
      <c r="AB147" s="42">
        <f t="shared" si="561"/>
        <v>38</v>
      </c>
      <c r="AC147" s="58">
        <f t="shared" ref="AC147:AE147" si="598">SUM(AC64:AC67)</f>
        <v>170</v>
      </c>
      <c r="AD147" s="265">
        <f t="shared" si="598"/>
        <v>4</v>
      </c>
      <c r="AE147" s="43">
        <f t="shared" si="598"/>
        <v>0</v>
      </c>
      <c r="AF147" s="42">
        <f t="shared" si="563"/>
        <v>174</v>
      </c>
      <c r="AG147" s="58">
        <f t="shared" ref="AG147:AI147" si="599">SUM(AG64:AG67)</f>
        <v>184</v>
      </c>
      <c r="AH147" s="265">
        <f t="shared" si="599"/>
        <v>6</v>
      </c>
      <c r="AI147" s="43">
        <f t="shared" si="599"/>
        <v>25</v>
      </c>
      <c r="AJ147" s="42">
        <f t="shared" si="565"/>
        <v>215</v>
      </c>
      <c r="AK147" s="58">
        <f t="shared" ref="AK147:AM147" si="600">SUM(AK64:AK67)</f>
        <v>15</v>
      </c>
      <c r="AL147" s="265">
        <f t="shared" si="600"/>
        <v>0</v>
      </c>
      <c r="AM147" s="43">
        <f t="shared" si="600"/>
        <v>0</v>
      </c>
      <c r="AN147" s="42">
        <f t="shared" si="451"/>
        <v>15</v>
      </c>
      <c r="AO147" s="58">
        <f t="shared" ref="AO147:AQ147" si="601">SUM(AO64:AO67)</f>
        <v>2</v>
      </c>
      <c r="AP147" s="265">
        <f t="shared" si="601"/>
        <v>0</v>
      </c>
      <c r="AQ147" s="43">
        <f t="shared" si="601"/>
        <v>0</v>
      </c>
      <c r="AR147" s="42">
        <f t="shared" si="568"/>
        <v>2</v>
      </c>
      <c r="AS147" s="58">
        <f t="shared" ref="AS147:AU147" si="602">SUM(AS64:AS67)</f>
        <v>73</v>
      </c>
      <c r="AT147" s="265">
        <f t="shared" si="602"/>
        <v>0</v>
      </c>
      <c r="AU147" s="43">
        <f t="shared" si="602"/>
        <v>0</v>
      </c>
      <c r="AV147" s="42">
        <f t="shared" si="455"/>
        <v>73</v>
      </c>
      <c r="AW147" s="58">
        <f t="shared" ref="AW147:AY147" si="603">SUM(AW64:AW67)</f>
        <v>59</v>
      </c>
      <c r="AX147" s="265">
        <f t="shared" si="603"/>
        <v>0</v>
      </c>
      <c r="AY147" s="43">
        <f t="shared" si="603"/>
        <v>0</v>
      </c>
      <c r="AZ147" s="42">
        <f t="shared" si="457"/>
        <v>59</v>
      </c>
      <c r="BA147" s="58">
        <f t="shared" ref="BA147:BC147" si="604">SUM(BA64:BA67)</f>
        <v>26</v>
      </c>
      <c r="BB147" s="265">
        <f t="shared" si="604"/>
        <v>0</v>
      </c>
      <c r="BC147" s="43">
        <f t="shared" si="604"/>
        <v>0</v>
      </c>
      <c r="BD147" s="42">
        <f t="shared" si="459"/>
        <v>26</v>
      </c>
      <c r="BE147" s="58">
        <f t="shared" ref="BE147:BG147" si="605">SUM(BE64:BE67)</f>
        <v>11</v>
      </c>
      <c r="BF147" s="265">
        <f t="shared" si="605"/>
        <v>0</v>
      </c>
      <c r="BG147" s="43">
        <f t="shared" si="605"/>
        <v>0</v>
      </c>
      <c r="BH147" s="42">
        <f t="shared" si="461"/>
        <v>11</v>
      </c>
      <c r="BI147" s="58">
        <f t="shared" ref="BI147:BK147" si="606">SUM(BI64:BI67)</f>
        <v>0</v>
      </c>
      <c r="BJ147" s="265">
        <f t="shared" si="606"/>
        <v>0</v>
      </c>
      <c r="BK147" s="43">
        <f t="shared" si="606"/>
        <v>0</v>
      </c>
      <c r="BL147" s="42">
        <f t="shared" si="463"/>
        <v>0</v>
      </c>
      <c r="BQ147" s="83">
        <f t="shared" si="590"/>
        <v>0.33333333999999981</v>
      </c>
    </row>
    <row r="148" spans="2:69" s="50" customFormat="1" ht="24.95" customHeight="1">
      <c r="B148" s="37">
        <f t="shared" si="486"/>
        <v>0.34375000749999979</v>
      </c>
      <c r="C148" s="38" t="s">
        <v>9</v>
      </c>
      <c r="D148" s="47">
        <f t="shared" si="549"/>
        <v>0.3854166774999998</v>
      </c>
      <c r="E148" s="58">
        <f t="shared" ref="E148" si="607">SUM(E65:E68)</f>
        <v>50</v>
      </c>
      <c r="F148" s="265">
        <f t="shared" ref="F148:G148" si="608">SUM(F65:F68)</f>
        <v>2</v>
      </c>
      <c r="G148" s="43">
        <f t="shared" si="608"/>
        <v>0</v>
      </c>
      <c r="H148" s="42">
        <f t="shared" si="552"/>
        <v>52</v>
      </c>
      <c r="I148" s="58">
        <f t="shared" ref="I148:K148" si="609">SUM(I65:I68)</f>
        <v>300</v>
      </c>
      <c r="J148" s="265">
        <f t="shared" si="609"/>
        <v>8</v>
      </c>
      <c r="K148" s="43">
        <f t="shared" si="609"/>
        <v>0</v>
      </c>
      <c r="L148" s="42">
        <f t="shared" si="554"/>
        <v>308</v>
      </c>
      <c r="M148" s="58">
        <f t="shared" ref="M148:O148" si="610">SUM(M65:M68)</f>
        <v>11</v>
      </c>
      <c r="N148" s="265">
        <f t="shared" si="610"/>
        <v>0</v>
      </c>
      <c r="O148" s="43">
        <f t="shared" si="610"/>
        <v>0</v>
      </c>
      <c r="P148" s="42">
        <f t="shared" si="556"/>
        <v>11</v>
      </c>
      <c r="Q148" s="58">
        <f t="shared" ref="Q148:S148" si="611">SUM(Q65:Q68)</f>
        <v>59</v>
      </c>
      <c r="R148" s="265">
        <f t="shared" si="611"/>
        <v>0</v>
      </c>
      <c r="S148" s="43">
        <f t="shared" si="611"/>
        <v>0</v>
      </c>
      <c r="T148" s="42">
        <f t="shared" si="441"/>
        <v>59</v>
      </c>
      <c r="U148" s="58">
        <f t="shared" ref="U148:W148" si="612">SUM(U65:U68)</f>
        <v>2</v>
      </c>
      <c r="V148" s="265">
        <f t="shared" si="612"/>
        <v>0</v>
      </c>
      <c r="W148" s="43">
        <f t="shared" si="612"/>
        <v>0</v>
      </c>
      <c r="X148" s="42">
        <f t="shared" si="559"/>
        <v>2</v>
      </c>
      <c r="Y148" s="58">
        <f t="shared" ref="Y148:AA148" si="613">SUM(Y65:Y68)</f>
        <v>41</v>
      </c>
      <c r="Z148" s="265">
        <f t="shared" si="613"/>
        <v>1</v>
      </c>
      <c r="AA148" s="43">
        <f t="shared" si="613"/>
        <v>0</v>
      </c>
      <c r="AB148" s="42">
        <f t="shared" si="561"/>
        <v>42</v>
      </c>
      <c r="AC148" s="58">
        <f t="shared" ref="AC148:AE148" si="614">SUM(AC65:AC68)</f>
        <v>167</v>
      </c>
      <c r="AD148" s="265">
        <f t="shared" si="614"/>
        <v>5</v>
      </c>
      <c r="AE148" s="43">
        <f t="shared" si="614"/>
        <v>0</v>
      </c>
      <c r="AF148" s="42">
        <f t="shared" si="563"/>
        <v>172</v>
      </c>
      <c r="AG148" s="58">
        <f t="shared" ref="AG148:AI148" si="615">SUM(AG65:AG68)</f>
        <v>219</v>
      </c>
      <c r="AH148" s="265">
        <f t="shared" si="615"/>
        <v>6</v>
      </c>
      <c r="AI148" s="43">
        <f t="shared" si="615"/>
        <v>29</v>
      </c>
      <c r="AJ148" s="42">
        <f t="shared" si="565"/>
        <v>254</v>
      </c>
      <c r="AK148" s="58">
        <f t="shared" ref="AK148:AM148" si="616">SUM(AK65:AK68)</f>
        <v>21</v>
      </c>
      <c r="AL148" s="265">
        <f t="shared" si="616"/>
        <v>0</v>
      </c>
      <c r="AM148" s="43">
        <f t="shared" si="616"/>
        <v>0</v>
      </c>
      <c r="AN148" s="42">
        <f t="shared" si="451"/>
        <v>21</v>
      </c>
      <c r="AO148" s="58">
        <f t="shared" ref="AO148:AQ148" si="617">SUM(AO65:AO68)</f>
        <v>3</v>
      </c>
      <c r="AP148" s="265">
        <f t="shared" si="617"/>
        <v>0</v>
      </c>
      <c r="AQ148" s="43">
        <f t="shared" si="617"/>
        <v>0</v>
      </c>
      <c r="AR148" s="42">
        <f t="shared" si="568"/>
        <v>3</v>
      </c>
      <c r="AS148" s="58">
        <f t="shared" ref="AS148:AU148" si="618">SUM(AS65:AS68)</f>
        <v>50</v>
      </c>
      <c r="AT148" s="265">
        <f t="shared" si="618"/>
        <v>0</v>
      </c>
      <c r="AU148" s="43">
        <f t="shared" si="618"/>
        <v>0</v>
      </c>
      <c r="AV148" s="42">
        <f t="shared" si="455"/>
        <v>50</v>
      </c>
      <c r="AW148" s="58">
        <f t="shared" ref="AW148:AY148" si="619">SUM(AW65:AW68)</f>
        <v>35</v>
      </c>
      <c r="AX148" s="265">
        <f t="shared" si="619"/>
        <v>0</v>
      </c>
      <c r="AY148" s="43">
        <f t="shared" si="619"/>
        <v>0</v>
      </c>
      <c r="AZ148" s="42">
        <f t="shared" si="457"/>
        <v>35</v>
      </c>
      <c r="BA148" s="58">
        <f t="shared" ref="BA148:BC148" si="620">SUM(BA65:BA68)</f>
        <v>24</v>
      </c>
      <c r="BB148" s="265">
        <f t="shared" si="620"/>
        <v>0</v>
      </c>
      <c r="BC148" s="43">
        <f t="shared" si="620"/>
        <v>0</v>
      </c>
      <c r="BD148" s="42">
        <f t="shared" si="459"/>
        <v>24</v>
      </c>
      <c r="BE148" s="58">
        <f t="shared" ref="BE148:BG148" si="621">SUM(BE65:BE68)</f>
        <v>14</v>
      </c>
      <c r="BF148" s="265">
        <f t="shared" si="621"/>
        <v>2</v>
      </c>
      <c r="BG148" s="43">
        <f t="shared" si="621"/>
        <v>0</v>
      </c>
      <c r="BH148" s="42">
        <f t="shared" si="461"/>
        <v>16</v>
      </c>
      <c r="BI148" s="58">
        <f t="shared" ref="BI148:BK148" si="622">SUM(BI65:BI68)</f>
        <v>0</v>
      </c>
      <c r="BJ148" s="265">
        <f t="shared" si="622"/>
        <v>0</v>
      </c>
      <c r="BK148" s="43">
        <f t="shared" si="622"/>
        <v>0</v>
      </c>
      <c r="BL148" s="42">
        <f t="shared" si="463"/>
        <v>0</v>
      </c>
      <c r="BQ148" s="83">
        <f t="shared" si="590"/>
        <v>0.34375000749999979</v>
      </c>
    </row>
    <row r="149" spans="2:69" s="50" customFormat="1" ht="24.95" customHeight="1">
      <c r="B149" s="37">
        <f t="shared" si="486"/>
        <v>0.35416667499999976</v>
      </c>
      <c r="C149" s="38" t="s">
        <v>9</v>
      </c>
      <c r="D149" s="47">
        <f t="shared" si="549"/>
        <v>0.39583334499999978</v>
      </c>
      <c r="E149" s="58">
        <f t="shared" ref="E149" si="623">SUM(E66:E69)</f>
        <v>49</v>
      </c>
      <c r="F149" s="265">
        <f t="shared" ref="F149:G149" si="624">SUM(F66:F69)</f>
        <v>3</v>
      </c>
      <c r="G149" s="43">
        <f t="shared" si="624"/>
        <v>0</v>
      </c>
      <c r="H149" s="42">
        <f t="shared" si="552"/>
        <v>52</v>
      </c>
      <c r="I149" s="58">
        <f t="shared" ref="I149:K149" si="625">SUM(I66:I69)</f>
        <v>298</v>
      </c>
      <c r="J149" s="265">
        <f t="shared" si="625"/>
        <v>8</v>
      </c>
      <c r="K149" s="43">
        <f t="shared" si="625"/>
        <v>0</v>
      </c>
      <c r="L149" s="42">
        <f t="shared" si="554"/>
        <v>306</v>
      </c>
      <c r="M149" s="58">
        <f t="shared" ref="M149:O149" si="626">SUM(M66:M69)</f>
        <v>13</v>
      </c>
      <c r="N149" s="265">
        <f t="shared" si="626"/>
        <v>0</v>
      </c>
      <c r="O149" s="43">
        <f t="shared" si="626"/>
        <v>0</v>
      </c>
      <c r="P149" s="42">
        <f t="shared" si="556"/>
        <v>13</v>
      </c>
      <c r="Q149" s="58">
        <f t="shared" ref="Q149:S149" si="627">SUM(Q66:Q69)</f>
        <v>52</v>
      </c>
      <c r="R149" s="265">
        <f t="shared" si="627"/>
        <v>0</v>
      </c>
      <c r="S149" s="43">
        <f t="shared" si="627"/>
        <v>0</v>
      </c>
      <c r="T149" s="42">
        <f t="shared" si="441"/>
        <v>52</v>
      </c>
      <c r="U149" s="58">
        <f t="shared" ref="U149:W149" si="628">SUM(U66:U69)</f>
        <v>2</v>
      </c>
      <c r="V149" s="265">
        <f t="shared" si="628"/>
        <v>0</v>
      </c>
      <c r="W149" s="43">
        <f t="shared" si="628"/>
        <v>0</v>
      </c>
      <c r="X149" s="42">
        <f t="shared" si="559"/>
        <v>2</v>
      </c>
      <c r="Y149" s="58">
        <f t="shared" ref="Y149:AA149" si="629">SUM(Y66:Y69)</f>
        <v>45</v>
      </c>
      <c r="Z149" s="265">
        <f t="shared" si="629"/>
        <v>1</v>
      </c>
      <c r="AA149" s="43">
        <f t="shared" si="629"/>
        <v>0</v>
      </c>
      <c r="AB149" s="42">
        <f t="shared" si="561"/>
        <v>46</v>
      </c>
      <c r="AC149" s="58">
        <f t="shared" ref="AC149:AE149" si="630">SUM(AC66:AC69)</f>
        <v>164</v>
      </c>
      <c r="AD149" s="265">
        <f t="shared" si="630"/>
        <v>7</v>
      </c>
      <c r="AE149" s="43">
        <f t="shared" si="630"/>
        <v>0</v>
      </c>
      <c r="AF149" s="42">
        <f t="shared" si="563"/>
        <v>171</v>
      </c>
      <c r="AG149" s="58">
        <f t="shared" ref="AG149:AI149" si="631">SUM(AG66:AG69)</f>
        <v>222</v>
      </c>
      <c r="AH149" s="265">
        <f t="shared" si="631"/>
        <v>8</v>
      </c>
      <c r="AI149" s="43">
        <f t="shared" si="631"/>
        <v>28</v>
      </c>
      <c r="AJ149" s="42">
        <f t="shared" si="565"/>
        <v>258</v>
      </c>
      <c r="AK149" s="58">
        <f t="shared" ref="AK149:AM149" si="632">SUM(AK66:AK69)</f>
        <v>24</v>
      </c>
      <c r="AL149" s="265">
        <f t="shared" si="632"/>
        <v>0</v>
      </c>
      <c r="AM149" s="43">
        <f t="shared" si="632"/>
        <v>0</v>
      </c>
      <c r="AN149" s="42">
        <f t="shared" si="451"/>
        <v>24</v>
      </c>
      <c r="AO149" s="58">
        <f t="shared" ref="AO149:AQ149" si="633">SUM(AO66:AO69)</f>
        <v>4</v>
      </c>
      <c r="AP149" s="265">
        <f t="shared" si="633"/>
        <v>0</v>
      </c>
      <c r="AQ149" s="43">
        <f t="shared" si="633"/>
        <v>0</v>
      </c>
      <c r="AR149" s="42">
        <f t="shared" si="568"/>
        <v>4</v>
      </c>
      <c r="AS149" s="58">
        <f t="shared" ref="AS149:AU149" si="634">SUM(AS66:AS69)</f>
        <v>32</v>
      </c>
      <c r="AT149" s="265">
        <f t="shared" si="634"/>
        <v>0</v>
      </c>
      <c r="AU149" s="43">
        <f t="shared" si="634"/>
        <v>0</v>
      </c>
      <c r="AV149" s="42">
        <f t="shared" si="455"/>
        <v>32</v>
      </c>
      <c r="AW149" s="58">
        <f t="shared" ref="AW149:AY149" si="635">SUM(AW66:AW69)</f>
        <v>27</v>
      </c>
      <c r="AX149" s="265">
        <f t="shared" si="635"/>
        <v>0</v>
      </c>
      <c r="AY149" s="43">
        <f t="shared" si="635"/>
        <v>0</v>
      </c>
      <c r="AZ149" s="42">
        <f t="shared" si="457"/>
        <v>27</v>
      </c>
      <c r="BA149" s="58">
        <f t="shared" ref="BA149:BC149" si="636">SUM(BA66:BA69)</f>
        <v>16</v>
      </c>
      <c r="BB149" s="265">
        <f t="shared" si="636"/>
        <v>0</v>
      </c>
      <c r="BC149" s="43">
        <f t="shared" si="636"/>
        <v>0</v>
      </c>
      <c r="BD149" s="42">
        <f t="shared" si="459"/>
        <v>16</v>
      </c>
      <c r="BE149" s="58">
        <f t="shared" ref="BE149:BG149" si="637">SUM(BE66:BE69)</f>
        <v>12</v>
      </c>
      <c r="BF149" s="265">
        <f t="shared" si="637"/>
        <v>2</v>
      </c>
      <c r="BG149" s="43">
        <f t="shared" si="637"/>
        <v>0</v>
      </c>
      <c r="BH149" s="42">
        <f t="shared" si="461"/>
        <v>14</v>
      </c>
      <c r="BI149" s="58">
        <f t="shared" ref="BI149:BK149" si="638">SUM(BI66:BI69)</f>
        <v>0</v>
      </c>
      <c r="BJ149" s="265">
        <f t="shared" si="638"/>
        <v>0</v>
      </c>
      <c r="BK149" s="43">
        <f t="shared" si="638"/>
        <v>0</v>
      </c>
      <c r="BL149" s="42">
        <f t="shared" si="463"/>
        <v>0</v>
      </c>
      <c r="BQ149" s="83">
        <f t="shared" si="590"/>
        <v>0.35416667499999976</v>
      </c>
    </row>
    <row r="150" spans="2:69" s="50" customFormat="1" ht="24.95" customHeight="1">
      <c r="B150" s="37">
        <f t="shared" si="486"/>
        <v>0.36458334249999974</v>
      </c>
      <c r="C150" s="38" t="s">
        <v>9</v>
      </c>
      <c r="D150" s="47">
        <f t="shared" si="549"/>
        <v>0.40625001249999976</v>
      </c>
      <c r="E150" s="58">
        <f t="shared" ref="E150" si="639">SUM(E67:E70)</f>
        <v>46</v>
      </c>
      <c r="F150" s="265">
        <f t="shared" ref="F150:G150" si="640">SUM(F67:F70)</f>
        <v>2</v>
      </c>
      <c r="G150" s="43">
        <f t="shared" si="640"/>
        <v>0</v>
      </c>
      <c r="H150" s="42">
        <f t="shared" si="552"/>
        <v>48</v>
      </c>
      <c r="I150" s="58">
        <f t="shared" ref="I150:K150" si="641">SUM(I67:I70)</f>
        <v>304</v>
      </c>
      <c r="J150" s="265">
        <f t="shared" si="641"/>
        <v>7</v>
      </c>
      <c r="K150" s="43">
        <f t="shared" si="641"/>
        <v>0</v>
      </c>
      <c r="L150" s="42">
        <f t="shared" si="554"/>
        <v>311</v>
      </c>
      <c r="M150" s="58">
        <f t="shared" ref="M150:O150" si="642">SUM(M67:M70)</f>
        <v>14</v>
      </c>
      <c r="N150" s="265">
        <f t="shared" si="642"/>
        <v>0</v>
      </c>
      <c r="O150" s="43">
        <f t="shared" si="642"/>
        <v>0</v>
      </c>
      <c r="P150" s="42">
        <f t="shared" si="556"/>
        <v>14</v>
      </c>
      <c r="Q150" s="58">
        <f t="shared" ref="Q150:S150" si="643">SUM(Q67:Q70)</f>
        <v>43</v>
      </c>
      <c r="R150" s="265">
        <f t="shared" si="643"/>
        <v>0</v>
      </c>
      <c r="S150" s="43">
        <f t="shared" si="643"/>
        <v>0</v>
      </c>
      <c r="T150" s="42">
        <f t="shared" si="441"/>
        <v>43</v>
      </c>
      <c r="U150" s="58">
        <f t="shared" ref="U150:W150" si="644">SUM(U67:U70)</f>
        <v>3</v>
      </c>
      <c r="V150" s="265">
        <f t="shared" si="644"/>
        <v>0</v>
      </c>
      <c r="W150" s="43">
        <f t="shared" si="644"/>
        <v>0</v>
      </c>
      <c r="X150" s="42">
        <f t="shared" si="559"/>
        <v>3</v>
      </c>
      <c r="Y150" s="58">
        <f t="shared" ref="Y150:AA150" si="645">SUM(Y67:Y70)</f>
        <v>40</v>
      </c>
      <c r="Z150" s="265">
        <f t="shared" si="645"/>
        <v>1</v>
      </c>
      <c r="AA150" s="43">
        <f t="shared" si="645"/>
        <v>0</v>
      </c>
      <c r="AB150" s="42">
        <f t="shared" si="561"/>
        <v>41</v>
      </c>
      <c r="AC150" s="58">
        <f t="shared" ref="AC150:AE150" si="646">SUM(AC67:AC70)</f>
        <v>160</v>
      </c>
      <c r="AD150" s="265">
        <f t="shared" si="646"/>
        <v>7</v>
      </c>
      <c r="AE150" s="43">
        <f t="shared" si="646"/>
        <v>0</v>
      </c>
      <c r="AF150" s="42">
        <f t="shared" si="563"/>
        <v>167</v>
      </c>
      <c r="AG150" s="58">
        <f t="shared" ref="AG150:AI150" si="647">SUM(AG67:AG70)</f>
        <v>217</v>
      </c>
      <c r="AH150" s="265">
        <f t="shared" si="647"/>
        <v>8</v>
      </c>
      <c r="AI150" s="43">
        <f t="shared" si="647"/>
        <v>36</v>
      </c>
      <c r="AJ150" s="42">
        <f t="shared" si="565"/>
        <v>261</v>
      </c>
      <c r="AK150" s="58">
        <f t="shared" ref="AK150:AM150" si="648">SUM(AK67:AK70)</f>
        <v>27</v>
      </c>
      <c r="AL150" s="265">
        <f t="shared" si="648"/>
        <v>0</v>
      </c>
      <c r="AM150" s="43">
        <f t="shared" si="648"/>
        <v>0</v>
      </c>
      <c r="AN150" s="42">
        <f t="shared" si="451"/>
        <v>27</v>
      </c>
      <c r="AO150" s="58">
        <f t="shared" ref="AO150:AQ150" si="649">SUM(AO67:AO70)</f>
        <v>5</v>
      </c>
      <c r="AP150" s="265">
        <f t="shared" si="649"/>
        <v>0</v>
      </c>
      <c r="AQ150" s="43">
        <f t="shared" si="649"/>
        <v>0</v>
      </c>
      <c r="AR150" s="42">
        <f t="shared" si="568"/>
        <v>5</v>
      </c>
      <c r="AS150" s="58">
        <f t="shared" ref="AS150:AU150" si="650">SUM(AS67:AS70)</f>
        <v>22</v>
      </c>
      <c r="AT150" s="265">
        <f t="shared" si="650"/>
        <v>0</v>
      </c>
      <c r="AU150" s="43">
        <f t="shared" si="650"/>
        <v>0</v>
      </c>
      <c r="AV150" s="42">
        <f t="shared" si="455"/>
        <v>22</v>
      </c>
      <c r="AW150" s="58">
        <f t="shared" ref="AW150:AY150" si="651">SUM(AW67:AW70)</f>
        <v>22</v>
      </c>
      <c r="AX150" s="265">
        <f t="shared" si="651"/>
        <v>0</v>
      </c>
      <c r="AY150" s="43">
        <f t="shared" si="651"/>
        <v>0</v>
      </c>
      <c r="AZ150" s="42">
        <f t="shared" si="457"/>
        <v>22</v>
      </c>
      <c r="BA150" s="58">
        <f t="shared" ref="BA150:BC150" si="652">SUM(BA67:BA70)</f>
        <v>14</v>
      </c>
      <c r="BB150" s="265">
        <f t="shared" si="652"/>
        <v>0</v>
      </c>
      <c r="BC150" s="43">
        <f t="shared" si="652"/>
        <v>0</v>
      </c>
      <c r="BD150" s="42">
        <f t="shared" si="459"/>
        <v>14</v>
      </c>
      <c r="BE150" s="58">
        <f t="shared" ref="BE150:BG150" si="653">SUM(BE67:BE70)</f>
        <v>9</v>
      </c>
      <c r="BF150" s="265">
        <f t="shared" si="653"/>
        <v>2</v>
      </c>
      <c r="BG150" s="43">
        <f t="shared" si="653"/>
        <v>0</v>
      </c>
      <c r="BH150" s="42">
        <f t="shared" si="461"/>
        <v>11</v>
      </c>
      <c r="BI150" s="58">
        <f t="shared" ref="BI150:BK150" si="654">SUM(BI67:BI70)</f>
        <v>0</v>
      </c>
      <c r="BJ150" s="265">
        <f t="shared" si="654"/>
        <v>0</v>
      </c>
      <c r="BK150" s="43">
        <f t="shared" si="654"/>
        <v>0</v>
      </c>
      <c r="BL150" s="42">
        <f t="shared" si="463"/>
        <v>0</v>
      </c>
      <c r="BQ150" s="83">
        <f t="shared" si="590"/>
        <v>0.36458334249999974</v>
      </c>
    </row>
    <row r="151" spans="2:69" s="50" customFormat="1" ht="24.95" customHeight="1" thickBot="1">
      <c r="B151" s="37">
        <f t="shared" si="486"/>
        <v>0.37500000999999972</v>
      </c>
      <c r="C151" s="38" t="s">
        <v>9</v>
      </c>
      <c r="D151" s="47">
        <f t="shared" si="549"/>
        <v>0.41666667999999973</v>
      </c>
      <c r="E151" s="58">
        <f t="shared" ref="E151" si="655">SUM(E68:E71)</f>
        <v>34</v>
      </c>
      <c r="F151" s="265">
        <f t="shared" ref="F151:G151" si="656">SUM(F68:F71)</f>
        <v>4</v>
      </c>
      <c r="G151" s="43">
        <f t="shared" si="656"/>
        <v>0</v>
      </c>
      <c r="H151" s="42">
        <f t="shared" si="552"/>
        <v>38</v>
      </c>
      <c r="I151" s="58">
        <f t="shared" ref="I151:K151" si="657">SUM(I68:I71)</f>
        <v>291</v>
      </c>
      <c r="J151" s="265">
        <f t="shared" si="657"/>
        <v>8</v>
      </c>
      <c r="K151" s="43">
        <f t="shared" si="657"/>
        <v>0</v>
      </c>
      <c r="L151" s="42">
        <f t="shared" si="554"/>
        <v>299</v>
      </c>
      <c r="M151" s="58">
        <f t="shared" ref="M151:O151" si="658">SUM(M68:M71)</f>
        <v>14</v>
      </c>
      <c r="N151" s="265">
        <f t="shared" si="658"/>
        <v>0</v>
      </c>
      <c r="O151" s="43">
        <f t="shared" si="658"/>
        <v>0</v>
      </c>
      <c r="P151" s="42">
        <f t="shared" si="556"/>
        <v>14</v>
      </c>
      <c r="Q151" s="58">
        <f t="shared" ref="Q151:S151" si="659">SUM(Q68:Q71)</f>
        <v>36</v>
      </c>
      <c r="R151" s="265">
        <f t="shared" si="659"/>
        <v>2</v>
      </c>
      <c r="S151" s="43">
        <f t="shared" si="659"/>
        <v>0</v>
      </c>
      <c r="T151" s="42">
        <f t="shared" si="441"/>
        <v>38</v>
      </c>
      <c r="U151" s="58">
        <f t="shared" ref="U151:W151" si="660">SUM(U68:U71)</f>
        <v>2</v>
      </c>
      <c r="V151" s="265">
        <f t="shared" si="660"/>
        <v>1</v>
      </c>
      <c r="W151" s="43">
        <f t="shared" si="660"/>
        <v>0</v>
      </c>
      <c r="X151" s="42">
        <f t="shared" si="559"/>
        <v>3</v>
      </c>
      <c r="Y151" s="58">
        <f t="shared" ref="Y151:AA151" si="661">SUM(Y68:Y71)</f>
        <v>37</v>
      </c>
      <c r="Z151" s="265">
        <f t="shared" si="661"/>
        <v>1</v>
      </c>
      <c r="AA151" s="43">
        <f t="shared" si="661"/>
        <v>0</v>
      </c>
      <c r="AB151" s="42">
        <f t="shared" si="561"/>
        <v>38</v>
      </c>
      <c r="AC151" s="58">
        <f t="shared" ref="AC151:AE151" si="662">SUM(AC68:AC71)</f>
        <v>127</v>
      </c>
      <c r="AD151" s="265">
        <f t="shared" si="662"/>
        <v>4</v>
      </c>
      <c r="AE151" s="43">
        <f t="shared" si="662"/>
        <v>0</v>
      </c>
      <c r="AF151" s="42">
        <f t="shared" si="563"/>
        <v>131</v>
      </c>
      <c r="AG151" s="58">
        <f t="shared" ref="AG151:AI151" si="663">SUM(AG68:AG71)</f>
        <v>232</v>
      </c>
      <c r="AH151" s="265">
        <f t="shared" si="663"/>
        <v>8</v>
      </c>
      <c r="AI151" s="43">
        <f t="shared" si="663"/>
        <v>32</v>
      </c>
      <c r="AJ151" s="42">
        <f t="shared" si="565"/>
        <v>272</v>
      </c>
      <c r="AK151" s="58">
        <f t="shared" ref="AK151:AM151" si="664">SUM(AK68:AK71)</f>
        <v>22</v>
      </c>
      <c r="AL151" s="265">
        <f t="shared" si="664"/>
        <v>0</v>
      </c>
      <c r="AM151" s="43">
        <f t="shared" si="664"/>
        <v>0</v>
      </c>
      <c r="AN151" s="42">
        <f t="shared" si="451"/>
        <v>22</v>
      </c>
      <c r="AO151" s="58">
        <f t="shared" ref="AO151:AQ151" si="665">SUM(AO68:AO71)</f>
        <v>9</v>
      </c>
      <c r="AP151" s="265">
        <f t="shared" si="665"/>
        <v>0</v>
      </c>
      <c r="AQ151" s="43">
        <f t="shared" si="665"/>
        <v>0</v>
      </c>
      <c r="AR151" s="42">
        <f t="shared" si="568"/>
        <v>9</v>
      </c>
      <c r="AS151" s="58">
        <f t="shared" ref="AS151:AU151" si="666">SUM(AS68:AS71)</f>
        <v>22</v>
      </c>
      <c r="AT151" s="265">
        <f t="shared" si="666"/>
        <v>1</v>
      </c>
      <c r="AU151" s="43">
        <f t="shared" si="666"/>
        <v>0</v>
      </c>
      <c r="AV151" s="42">
        <f t="shared" si="455"/>
        <v>23</v>
      </c>
      <c r="AW151" s="58">
        <f t="shared" ref="AW151:AY151" si="667">SUM(AW68:AW71)</f>
        <v>19</v>
      </c>
      <c r="AX151" s="265">
        <f t="shared" si="667"/>
        <v>0</v>
      </c>
      <c r="AY151" s="43">
        <f t="shared" si="667"/>
        <v>0</v>
      </c>
      <c r="AZ151" s="42">
        <f t="shared" si="457"/>
        <v>19</v>
      </c>
      <c r="BA151" s="58">
        <f t="shared" ref="BA151:BC151" si="668">SUM(BA68:BA71)</f>
        <v>11</v>
      </c>
      <c r="BB151" s="265">
        <f t="shared" si="668"/>
        <v>0</v>
      </c>
      <c r="BC151" s="43">
        <f t="shared" si="668"/>
        <v>0</v>
      </c>
      <c r="BD151" s="42">
        <f t="shared" si="459"/>
        <v>11</v>
      </c>
      <c r="BE151" s="58">
        <f t="shared" ref="BE151:BG151" si="669">SUM(BE68:BE71)</f>
        <v>6</v>
      </c>
      <c r="BF151" s="265">
        <f t="shared" si="669"/>
        <v>3</v>
      </c>
      <c r="BG151" s="43">
        <f t="shared" si="669"/>
        <v>0</v>
      </c>
      <c r="BH151" s="42">
        <f t="shared" si="461"/>
        <v>9</v>
      </c>
      <c r="BI151" s="58">
        <f t="shared" ref="BI151:BK151" si="670">SUM(BI68:BI71)</f>
        <v>0</v>
      </c>
      <c r="BJ151" s="265">
        <f t="shared" si="670"/>
        <v>0</v>
      </c>
      <c r="BK151" s="43">
        <f t="shared" si="670"/>
        <v>0</v>
      </c>
      <c r="BL151" s="42">
        <f t="shared" si="463"/>
        <v>0</v>
      </c>
      <c r="BQ151" s="83">
        <f t="shared" si="590"/>
        <v>0.37500000999999972</v>
      </c>
    </row>
    <row r="152" spans="2:69" s="50" customFormat="1" ht="30" customHeight="1" thickBot="1">
      <c r="B152" s="369" t="str">
        <f>B34</f>
        <v>AM Totals</v>
      </c>
      <c r="C152" s="370"/>
      <c r="D152" s="371"/>
      <c r="E152" s="44">
        <f t="shared" ref="E152:AR152" si="671">E72</f>
        <v>112</v>
      </c>
      <c r="F152" s="263">
        <f t="shared" ref="F152:G152" si="672">F72</f>
        <v>8</v>
      </c>
      <c r="G152" s="45">
        <f t="shared" si="672"/>
        <v>0</v>
      </c>
      <c r="H152" s="44">
        <f t="shared" si="671"/>
        <v>120</v>
      </c>
      <c r="I152" s="44">
        <f t="shared" ref="I152:K152" si="673">I72</f>
        <v>798</v>
      </c>
      <c r="J152" s="263">
        <f t="shared" si="673"/>
        <v>23</v>
      </c>
      <c r="K152" s="45">
        <f t="shared" si="673"/>
        <v>1</v>
      </c>
      <c r="L152" s="44">
        <f t="shared" si="671"/>
        <v>822</v>
      </c>
      <c r="M152" s="44">
        <f t="shared" ref="M152:O152" si="674">M72</f>
        <v>33</v>
      </c>
      <c r="N152" s="263">
        <f t="shared" si="674"/>
        <v>3</v>
      </c>
      <c r="O152" s="45">
        <f t="shared" si="674"/>
        <v>0</v>
      </c>
      <c r="P152" s="44">
        <f t="shared" si="671"/>
        <v>36</v>
      </c>
      <c r="Q152" s="44">
        <f t="shared" ref="Q152:S152" si="675">Q72</f>
        <v>137</v>
      </c>
      <c r="R152" s="263">
        <f t="shared" si="675"/>
        <v>5</v>
      </c>
      <c r="S152" s="45">
        <f t="shared" si="675"/>
        <v>0</v>
      </c>
      <c r="T152" s="44">
        <f t="shared" ref="T152:W152" si="676">T72</f>
        <v>142</v>
      </c>
      <c r="U152" s="44">
        <f t="shared" si="676"/>
        <v>7</v>
      </c>
      <c r="V152" s="263">
        <f t="shared" si="676"/>
        <v>1</v>
      </c>
      <c r="W152" s="45">
        <f t="shared" si="676"/>
        <v>0</v>
      </c>
      <c r="X152" s="44">
        <f t="shared" si="671"/>
        <v>8</v>
      </c>
      <c r="Y152" s="44">
        <f t="shared" ref="Y152:AA152" si="677">Y72</f>
        <v>96</v>
      </c>
      <c r="Z152" s="263">
        <f t="shared" si="677"/>
        <v>4</v>
      </c>
      <c r="AA152" s="45">
        <f t="shared" si="677"/>
        <v>0</v>
      </c>
      <c r="AB152" s="46">
        <f t="shared" si="671"/>
        <v>100</v>
      </c>
      <c r="AC152" s="86">
        <f t="shared" ref="AC152:AE152" si="678">AC72</f>
        <v>461</v>
      </c>
      <c r="AD152" s="263">
        <f t="shared" si="678"/>
        <v>9</v>
      </c>
      <c r="AE152" s="45">
        <f t="shared" si="678"/>
        <v>0</v>
      </c>
      <c r="AF152" s="44">
        <f t="shared" si="671"/>
        <v>470</v>
      </c>
      <c r="AG152" s="44">
        <f t="shared" ref="AG152:AI152" si="679">AG72</f>
        <v>603</v>
      </c>
      <c r="AH152" s="263">
        <f t="shared" si="679"/>
        <v>26</v>
      </c>
      <c r="AI152" s="45">
        <f t="shared" si="679"/>
        <v>81</v>
      </c>
      <c r="AJ152" s="44">
        <f t="shared" si="671"/>
        <v>710</v>
      </c>
      <c r="AK152" s="44">
        <f t="shared" ref="AK152:AM152" si="680">AK72</f>
        <v>41</v>
      </c>
      <c r="AL152" s="263">
        <f t="shared" si="680"/>
        <v>1</v>
      </c>
      <c r="AM152" s="45">
        <f t="shared" si="680"/>
        <v>0</v>
      </c>
      <c r="AN152" s="46">
        <f t="shared" ref="AN152:AQ152" si="681">AN72</f>
        <v>42</v>
      </c>
      <c r="AO152" s="44">
        <f t="shared" si="681"/>
        <v>12</v>
      </c>
      <c r="AP152" s="263">
        <f t="shared" si="681"/>
        <v>0</v>
      </c>
      <c r="AQ152" s="45">
        <f t="shared" si="681"/>
        <v>0</v>
      </c>
      <c r="AR152" s="46">
        <f t="shared" si="671"/>
        <v>12</v>
      </c>
      <c r="AS152" s="44">
        <f t="shared" ref="AS152:AU152" si="682">AS72</f>
        <v>189</v>
      </c>
      <c r="AT152" s="263">
        <f t="shared" si="682"/>
        <v>2</v>
      </c>
      <c r="AU152" s="45">
        <f t="shared" si="682"/>
        <v>0</v>
      </c>
      <c r="AV152" s="46">
        <f>AV72</f>
        <v>191</v>
      </c>
      <c r="AW152" s="86">
        <f t="shared" ref="AW152:AY152" si="683">AW72</f>
        <v>127</v>
      </c>
      <c r="AX152" s="263">
        <f t="shared" si="683"/>
        <v>2</v>
      </c>
      <c r="AY152" s="45">
        <f t="shared" si="683"/>
        <v>0</v>
      </c>
      <c r="AZ152" s="44">
        <f>AZ72</f>
        <v>129</v>
      </c>
      <c r="BA152" s="44">
        <f t="shared" ref="BA152:BC152" si="684">BA72</f>
        <v>71</v>
      </c>
      <c r="BB152" s="263">
        <f t="shared" si="684"/>
        <v>2</v>
      </c>
      <c r="BC152" s="45">
        <f t="shared" si="684"/>
        <v>0</v>
      </c>
      <c r="BD152" s="44">
        <f>BD72</f>
        <v>73</v>
      </c>
      <c r="BE152" s="44">
        <f t="shared" ref="BE152:BG152" si="685">BE72</f>
        <v>25</v>
      </c>
      <c r="BF152" s="263">
        <f t="shared" si="685"/>
        <v>3</v>
      </c>
      <c r="BG152" s="45">
        <f t="shared" si="685"/>
        <v>0</v>
      </c>
      <c r="BH152" s="46">
        <f>BH72</f>
        <v>28</v>
      </c>
      <c r="BI152" s="44">
        <f t="shared" ref="BI152:BK152" si="686">BI72</f>
        <v>0</v>
      </c>
      <c r="BJ152" s="263">
        <f t="shared" si="686"/>
        <v>0</v>
      </c>
      <c r="BK152" s="45">
        <f t="shared" si="686"/>
        <v>0</v>
      </c>
      <c r="BL152" s="46">
        <f>BL72</f>
        <v>0</v>
      </c>
      <c r="BO152" s="55"/>
      <c r="BP152" s="55"/>
      <c r="BQ152" s="83" t="str">
        <f t="shared" si="590"/>
        <v>AM Totals</v>
      </c>
    </row>
    <row r="153" spans="2:69" s="50" customFormat="1" ht="24.95" customHeight="1">
      <c r="B153" s="37">
        <f>B35</f>
        <v>0.60416666666666663</v>
      </c>
      <c r="C153" s="38" t="s">
        <v>9</v>
      </c>
      <c r="D153" s="39">
        <f t="shared" ref="D153:D157" si="687">SUM(0.04166667)+B153</f>
        <v>0.64583333666666665</v>
      </c>
      <c r="E153" s="33">
        <f t="shared" ref="E153:E159" si="688">SUM(E73:E76)</f>
        <v>76</v>
      </c>
      <c r="F153" s="264">
        <f t="shared" ref="F153:G153" si="689">SUM(F73:F76)</f>
        <v>0</v>
      </c>
      <c r="G153" s="34">
        <f t="shared" si="689"/>
        <v>0</v>
      </c>
      <c r="H153" s="42">
        <f t="shared" ref="H153:H159" si="690">SUM(E153:G153)</f>
        <v>76</v>
      </c>
      <c r="I153" s="33">
        <f t="shared" ref="I153:K153" si="691">SUM(I73:I76)</f>
        <v>439</v>
      </c>
      <c r="J153" s="264">
        <f t="shared" si="691"/>
        <v>7</v>
      </c>
      <c r="K153" s="34">
        <f t="shared" si="691"/>
        <v>1</v>
      </c>
      <c r="L153" s="42">
        <f t="shared" ref="L153:L159" si="692">SUM(I153:K153)</f>
        <v>447</v>
      </c>
      <c r="M153" s="33">
        <f t="shared" ref="M153:O153" si="693">SUM(M73:M76)</f>
        <v>17</v>
      </c>
      <c r="N153" s="264">
        <f t="shared" si="693"/>
        <v>0</v>
      </c>
      <c r="O153" s="34">
        <f t="shared" si="693"/>
        <v>0</v>
      </c>
      <c r="P153" s="42">
        <f t="shared" ref="P153:P159" si="694">SUM(M153:O153)</f>
        <v>17</v>
      </c>
      <c r="Q153" s="33">
        <f t="shared" ref="Q153:S153" si="695">SUM(Q73:Q76)</f>
        <v>37</v>
      </c>
      <c r="R153" s="264">
        <f t="shared" si="695"/>
        <v>1</v>
      </c>
      <c r="S153" s="34">
        <f t="shared" si="695"/>
        <v>0</v>
      </c>
      <c r="T153" s="42">
        <f t="shared" ref="T153:T165" si="696">SUM(Q153:S153)</f>
        <v>38</v>
      </c>
      <c r="U153" s="33">
        <f t="shared" ref="U153:W153" si="697">SUM(U73:U76)</f>
        <v>2</v>
      </c>
      <c r="V153" s="264">
        <f t="shared" si="697"/>
        <v>0</v>
      </c>
      <c r="W153" s="34">
        <f t="shared" si="697"/>
        <v>0</v>
      </c>
      <c r="X153" s="42">
        <f t="shared" ref="X153:X159" si="698">SUM(U153:W153)</f>
        <v>2</v>
      </c>
      <c r="Y153" s="33">
        <f t="shared" ref="Y153:AA153" si="699">SUM(Y73:Y76)</f>
        <v>45</v>
      </c>
      <c r="Z153" s="264">
        <f t="shared" si="699"/>
        <v>0</v>
      </c>
      <c r="AA153" s="34">
        <f t="shared" si="699"/>
        <v>0</v>
      </c>
      <c r="AB153" s="42">
        <f t="shared" ref="AB153:AB159" si="700">SUM(Y153:AA153)</f>
        <v>45</v>
      </c>
      <c r="AC153" s="33">
        <f t="shared" ref="AC153:AE153" si="701">SUM(AC73:AC76)</f>
        <v>210</v>
      </c>
      <c r="AD153" s="264">
        <f t="shared" si="701"/>
        <v>3</v>
      </c>
      <c r="AE153" s="34">
        <f t="shared" si="701"/>
        <v>0</v>
      </c>
      <c r="AF153" s="42">
        <f t="shared" ref="AF153:AF159" si="702">SUM(AC153:AE153)</f>
        <v>213</v>
      </c>
      <c r="AG153" s="33">
        <f t="shared" ref="AG153:AI153" si="703">SUM(AG73:AG76)</f>
        <v>273</v>
      </c>
      <c r="AH153" s="264">
        <f t="shared" si="703"/>
        <v>4</v>
      </c>
      <c r="AI153" s="34">
        <f t="shared" si="703"/>
        <v>14</v>
      </c>
      <c r="AJ153" s="42">
        <f t="shared" ref="AJ153:AJ159" si="704">SUM(AG153:AI153)</f>
        <v>291</v>
      </c>
      <c r="AK153" s="33">
        <f t="shared" ref="AK153:AM153" si="705">SUM(AK73:AK76)</f>
        <v>38</v>
      </c>
      <c r="AL153" s="264">
        <f t="shared" si="705"/>
        <v>0</v>
      </c>
      <c r="AM153" s="34">
        <f t="shared" si="705"/>
        <v>0</v>
      </c>
      <c r="AN153" s="42">
        <f t="shared" ref="AN153:AN165" si="706">SUM(AK153:AM153)</f>
        <v>38</v>
      </c>
      <c r="AO153" s="33">
        <f t="shared" ref="AO153:AQ153" si="707">SUM(AO73:AO76)</f>
        <v>11</v>
      </c>
      <c r="AP153" s="264">
        <f t="shared" si="707"/>
        <v>0</v>
      </c>
      <c r="AQ153" s="34">
        <f t="shared" si="707"/>
        <v>0</v>
      </c>
      <c r="AR153" s="42">
        <f t="shared" ref="AR153:AR159" si="708">SUM(AO153:AQ153)</f>
        <v>11</v>
      </c>
      <c r="AS153" s="33">
        <f t="shared" ref="AS153:AU153" si="709">SUM(AS73:AS76)</f>
        <v>27</v>
      </c>
      <c r="AT153" s="264">
        <f t="shared" si="709"/>
        <v>0</v>
      </c>
      <c r="AU153" s="34">
        <f t="shared" si="709"/>
        <v>0</v>
      </c>
      <c r="AV153" s="42">
        <f t="shared" ref="AV153:AV165" si="710">SUM(AS153:AU153)</f>
        <v>27</v>
      </c>
      <c r="AW153" s="33">
        <f t="shared" ref="AW153:AY153" si="711">SUM(AW73:AW76)</f>
        <v>18</v>
      </c>
      <c r="AX153" s="264">
        <f t="shared" si="711"/>
        <v>0</v>
      </c>
      <c r="AY153" s="34">
        <f t="shared" si="711"/>
        <v>0</v>
      </c>
      <c r="AZ153" s="42">
        <f t="shared" ref="AZ153:AZ165" si="712">SUM(AW153:AY153)</f>
        <v>18</v>
      </c>
      <c r="BA153" s="33">
        <f t="shared" ref="BA153:BC153" si="713">SUM(BA73:BA76)</f>
        <v>23</v>
      </c>
      <c r="BB153" s="264">
        <f t="shared" si="713"/>
        <v>0</v>
      </c>
      <c r="BC153" s="34">
        <f t="shared" si="713"/>
        <v>0</v>
      </c>
      <c r="BD153" s="42">
        <f t="shared" ref="BD153:BD165" si="714">SUM(BA153:BC153)</f>
        <v>23</v>
      </c>
      <c r="BE153" s="33">
        <f t="shared" ref="BE153:BG153" si="715">SUM(BE73:BE76)</f>
        <v>29</v>
      </c>
      <c r="BF153" s="264">
        <f t="shared" si="715"/>
        <v>1</v>
      </c>
      <c r="BG153" s="34">
        <f t="shared" si="715"/>
        <v>0</v>
      </c>
      <c r="BH153" s="42">
        <f t="shared" ref="BH153:BH165" si="716">SUM(BE153:BG153)</f>
        <v>30</v>
      </c>
      <c r="BI153" s="33">
        <f t="shared" ref="BI153:BK153" si="717">SUM(BI73:BI76)</f>
        <v>0</v>
      </c>
      <c r="BJ153" s="264">
        <f t="shared" si="717"/>
        <v>0</v>
      </c>
      <c r="BK153" s="34">
        <f t="shared" si="717"/>
        <v>0</v>
      </c>
      <c r="BL153" s="42">
        <f t="shared" ref="BL153:BL165" si="718">SUM(BI153:BK153)</f>
        <v>0</v>
      </c>
      <c r="BO153" s="55"/>
      <c r="BP153" s="55"/>
      <c r="BQ153" s="83">
        <f t="shared" si="590"/>
        <v>0.60416666666666663</v>
      </c>
    </row>
    <row r="154" spans="2:69" s="50" customFormat="1" ht="24.95" customHeight="1">
      <c r="B154" s="37">
        <f>SUM(0.04166667/4+B153)</f>
        <v>0.61458333416666666</v>
      </c>
      <c r="C154" s="38" t="s">
        <v>9</v>
      </c>
      <c r="D154" s="39">
        <f t="shared" si="687"/>
        <v>0.65625000416666668</v>
      </c>
      <c r="E154" s="58">
        <f t="shared" si="688"/>
        <v>80</v>
      </c>
      <c r="F154" s="265">
        <f t="shared" ref="F154:G154" si="719">SUM(F74:F77)</f>
        <v>0</v>
      </c>
      <c r="G154" s="43">
        <f t="shared" si="719"/>
        <v>0</v>
      </c>
      <c r="H154" s="42">
        <f t="shared" si="690"/>
        <v>80</v>
      </c>
      <c r="I154" s="58">
        <f t="shared" ref="I154:K154" si="720">SUM(I74:I77)</f>
        <v>477</v>
      </c>
      <c r="J154" s="265">
        <f t="shared" si="720"/>
        <v>6</v>
      </c>
      <c r="K154" s="43">
        <f t="shared" si="720"/>
        <v>0</v>
      </c>
      <c r="L154" s="42">
        <f t="shared" si="692"/>
        <v>483</v>
      </c>
      <c r="M154" s="58">
        <f t="shared" ref="M154:O154" si="721">SUM(M74:M77)</f>
        <v>24</v>
      </c>
      <c r="N154" s="265">
        <f t="shared" si="721"/>
        <v>1</v>
      </c>
      <c r="O154" s="43">
        <f t="shared" si="721"/>
        <v>0</v>
      </c>
      <c r="P154" s="42">
        <f t="shared" si="694"/>
        <v>25</v>
      </c>
      <c r="Q154" s="58">
        <f t="shared" ref="Q154:S154" si="722">SUM(Q74:Q77)</f>
        <v>33</v>
      </c>
      <c r="R154" s="265">
        <f t="shared" si="722"/>
        <v>0</v>
      </c>
      <c r="S154" s="43">
        <f t="shared" si="722"/>
        <v>0</v>
      </c>
      <c r="T154" s="42">
        <f t="shared" si="696"/>
        <v>33</v>
      </c>
      <c r="U154" s="58">
        <f t="shared" ref="U154:W154" si="723">SUM(U74:U77)</f>
        <v>2</v>
      </c>
      <c r="V154" s="265">
        <f t="shared" si="723"/>
        <v>0</v>
      </c>
      <c r="W154" s="43">
        <f t="shared" si="723"/>
        <v>0</v>
      </c>
      <c r="X154" s="42">
        <f t="shared" si="698"/>
        <v>2</v>
      </c>
      <c r="Y154" s="58">
        <f t="shared" ref="Y154:AA154" si="724">SUM(Y74:Y77)</f>
        <v>38</v>
      </c>
      <c r="Z154" s="265">
        <f t="shared" si="724"/>
        <v>0</v>
      </c>
      <c r="AA154" s="43">
        <f t="shared" si="724"/>
        <v>0</v>
      </c>
      <c r="AB154" s="42">
        <f t="shared" si="700"/>
        <v>38</v>
      </c>
      <c r="AC154" s="58">
        <f t="shared" ref="AC154:AE154" si="725">SUM(AC74:AC77)</f>
        <v>228</v>
      </c>
      <c r="AD154" s="265">
        <f t="shared" si="725"/>
        <v>2</v>
      </c>
      <c r="AE154" s="43">
        <f t="shared" si="725"/>
        <v>0</v>
      </c>
      <c r="AF154" s="42">
        <f t="shared" si="702"/>
        <v>230</v>
      </c>
      <c r="AG154" s="58">
        <f t="shared" ref="AG154:AI154" si="726">SUM(AG74:AG77)</f>
        <v>279</v>
      </c>
      <c r="AH154" s="265">
        <f t="shared" si="726"/>
        <v>3</v>
      </c>
      <c r="AI154" s="43">
        <f t="shared" si="726"/>
        <v>14</v>
      </c>
      <c r="AJ154" s="42">
        <f t="shared" si="704"/>
        <v>296</v>
      </c>
      <c r="AK154" s="58">
        <f t="shared" ref="AK154:AM154" si="727">SUM(AK74:AK77)</f>
        <v>42</v>
      </c>
      <c r="AL154" s="265">
        <f t="shared" si="727"/>
        <v>0</v>
      </c>
      <c r="AM154" s="43">
        <f t="shared" si="727"/>
        <v>0</v>
      </c>
      <c r="AN154" s="42">
        <f t="shared" si="706"/>
        <v>42</v>
      </c>
      <c r="AO154" s="58">
        <f t="shared" ref="AO154:AQ154" si="728">SUM(AO74:AO77)</f>
        <v>15</v>
      </c>
      <c r="AP154" s="265">
        <f t="shared" si="728"/>
        <v>0</v>
      </c>
      <c r="AQ154" s="43">
        <f t="shared" si="728"/>
        <v>0</v>
      </c>
      <c r="AR154" s="42">
        <f t="shared" si="708"/>
        <v>15</v>
      </c>
      <c r="AS154" s="58">
        <f t="shared" ref="AS154:AU154" si="729">SUM(AS74:AS77)</f>
        <v>32</v>
      </c>
      <c r="AT154" s="265">
        <f t="shared" si="729"/>
        <v>0</v>
      </c>
      <c r="AU154" s="43">
        <f t="shared" si="729"/>
        <v>0</v>
      </c>
      <c r="AV154" s="42">
        <f t="shared" si="710"/>
        <v>32</v>
      </c>
      <c r="AW154" s="58">
        <f t="shared" ref="AW154:AY154" si="730">SUM(AW74:AW77)</f>
        <v>19</v>
      </c>
      <c r="AX154" s="265">
        <f t="shared" si="730"/>
        <v>0</v>
      </c>
      <c r="AY154" s="43">
        <f t="shared" si="730"/>
        <v>0</v>
      </c>
      <c r="AZ154" s="42">
        <f t="shared" si="712"/>
        <v>19</v>
      </c>
      <c r="BA154" s="58">
        <f t="shared" ref="BA154:BC154" si="731">SUM(BA74:BA77)</f>
        <v>18</v>
      </c>
      <c r="BB154" s="265">
        <f t="shared" si="731"/>
        <v>0</v>
      </c>
      <c r="BC154" s="43">
        <f t="shared" si="731"/>
        <v>0</v>
      </c>
      <c r="BD154" s="42">
        <f t="shared" si="714"/>
        <v>18</v>
      </c>
      <c r="BE154" s="58">
        <f t="shared" ref="BE154:BG154" si="732">SUM(BE74:BE77)</f>
        <v>27</v>
      </c>
      <c r="BF154" s="265">
        <f t="shared" si="732"/>
        <v>1</v>
      </c>
      <c r="BG154" s="43">
        <f t="shared" si="732"/>
        <v>0</v>
      </c>
      <c r="BH154" s="42">
        <f t="shared" si="716"/>
        <v>28</v>
      </c>
      <c r="BI154" s="58">
        <f t="shared" ref="BI154:BK154" si="733">SUM(BI74:BI77)</f>
        <v>0</v>
      </c>
      <c r="BJ154" s="265">
        <f t="shared" si="733"/>
        <v>0</v>
      </c>
      <c r="BK154" s="43">
        <f t="shared" si="733"/>
        <v>0</v>
      </c>
      <c r="BL154" s="42">
        <f t="shared" si="718"/>
        <v>0</v>
      </c>
      <c r="BO154" s="55"/>
      <c r="BP154" s="55"/>
      <c r="BQ154" s="83">
        <f t="shared" si="590"/>
        <v>0.61458333416666666</v>
      </c>
    </row>
    <row r="155" spans="2:69" s="50" customFormat="1" ht="24.95" customHeight="1">
      <c r="B155" s="37">
        <f t="shared" ref="B155:B165" si="734">SUM(0.04166667/4+B154)</f>
        <v>0.62500000166666669</v>
      </c>
      <c r="C155" s="38" t="s">
        <v>9</v>
      </c>
      <c r="D155" s="39">
        <f t="shared" si="687"/>
        <v>0.66666667166666671</v>
      </c>
      <c r="E155" s="58">
        <f t="shared" si="688"/>
        <v>81</v>
      </c>
      <c r="F155" s="265">
        <f t="shared" ref="F155:G155" si="735">SUM(F75:F78)</f>
        <v>0</v>
      </c>
      <c r="G155" s="43">
        <f t="shared" si="735"/>
        <v>0</v>
      </c>
      <c r="H155" s="42">
        <f t="shared" si="690"/>
        <v>81</v>
      </c>
      <c r="I155" s="58">
        <f t="shared" ref="I155:K155" si="736">SUM(I75:I78)</f>
        <v>493</v>
      </c>
      <c r="J155" s="265">
        <f t="shared" si="736"/>
        <v>4</v>
      </c>
      <c r="K155" s="43">
        <f t="shared" si="736"/>
        <v>0</v>
      </c>
      <c r="L155" s="42">
        <f t="shared" si="692"/>
        <v>497</v>
      </c>
      <c r="M155" s="58">
        <f t="shared" ref="M155:O155" si="737">SUM(M75:M78)</f>
        <v>29</v>
      </c>
      <c r="N155" s="265">
        <f t="shared" si="737"/>
        <v>1</v>
      </c>
      <c r="O155" s="43">
        <f t="shared" si="737"/>
        <v>0</v>
      </c>
      <c r="P155" s="42">
        <f t="shared" si="694"/>
        <v>30</v>
      </c>
      <c r="Q155" s="58">
        <f t="shared" ref="Q155:S155" si="738">SUM(Q75:Q78)</f>
        <v>32</v>
      </c>
      <c r="R155" s="265">
        <f t="shared" si="738"/>
        <v>0</v>
      </c>
      <c r="S155" s="43">
        <f t="shared" si="738"/>
        <v>0</v>
      </c>
      <c r="T155" s="42">
        <f t="shared" si="696"/>
        <v>32</v>
      </c>
      <c r="U155" s="58">
        <f t="shared" ref="U155:W155" si="739">SUM(U75:U78)</f>
        <v>2</v>
      </c>
      <c r="V155" s="265">
        <f t="shared" si="739"/>
        <v>0</v>
      </c>
      <c r="W155" s="43">
        <f t="shared" si="739"/>
        <v>0</v>
      </c>
      <c r="X155" s="42">
        <f t="shared" si="698"/>
        <v>2</v>
      </c>
      <c r="Y155" s="58">
        <f t="shared" ref="Y155:AA155" si="740">SUM(Y75:Y78)</f>
        <v>40</v>
      </c>
      <c r="Z155" s="265">
        <f t="shared" si="740"/>
        <v>0</v>
      </c>
      <c r="AA155" s="43">
        <f t="shared" si="740"/>
        <v>0</v>
      </c>
      <c r="AB155" s="42">
        <f t="shared" si="700"/>
        <v>40</v>
      </c>
      <c r="AC155" s="58">
        <f t="shared" ref="AC155:AE155" si="741">SUM(AC75:AC78)</f>
        <v>242</v>
      </c>
      <c r="AD155" s="265">
        <f t="shared" si="741"/>
        <v>3</v>
      </c>
      <c r="AE155" s="43">
        <f t="shared" si="741"/>
        <v>0</v>
      </c>
      <c r="AF155" s="42">
        <f t="shared" si="702"/>
        <v>245</v>
      </c>
      <c r="AG155" s="58">
        <f t="shared" ref="AG155:AI155" si="742">SUM(AG75:AG78)</f>
        <v>295</v>
      </c>
      <c r="AH155" s="265">
        <f t="shared" si="742"/>
        <v>5</v>
      </c>
      <c r="AI155" s="43">
        <f t="shared" si="742"/>
        <v>15</v>
      </c>
      <c r="AJ155" s="42">
        <f t="shared" si="704"/>
        <v>315</v>
      </c>
      <c r="AK155" s="58">
        <f t="shared" ref="AK155:AM155" si="743">SUM(AK75:AK78)</f>
        <v>44</v>
      </c>
      <c r="AL155" s="265">
        <f t="shared" si="743"/>
        <v>0</v>
      </c>
      <c r="AM155" s="43">
        <f t="shared" si="743"/>
        <v>0</v>
      </c>
      <c r="AN155" s="42">
        <f t="shared" si="706"/>
        <v>44</v>
      </c>
      <c r="AO155" s="58">
        <f t="shared" ref="AO155:AQ155" si="744">SUM(AO75:AO78)</f>
        <v>13</v>
      </c>
      <c r="AP155" s="265">
        <f t="shared" si="744"/>
        <v>0</v>
      </c>
      <c r="AQ155" s="43">
        <f t="shared" si="744"/>
        <v>0</v>
      </c>
      <c r="AR155" s="42">
        <f t="shared" si="708"/>
        <v>13</v>
      </c>
      <c r="AS155" s="58">
        <f t="shared" ref="AS155:AU155" si="745">SUM(AS75:AS78)</f>
        <v>30</v>
      </c>
      <c r="AT155" s="265">
        <f t="shared" si="745"/>
        <v>0</v>
      </c>
      <c r="AU155" s="43">
        <f t="shared" si="745"/>
        <v>0</v>
      </c>
      <c r="AV155" s="42">
        <f t="shared" si="710"/>
        <v>30</v>
      </c>
      <c r="AW155" s="58">
        <f t="shared" ref="AW155:AY155" si="746">SUM(AW75:AW78)</f>
        <v>15</v>
      </c>
      <c r="AX155" s="265">
        <f t="shared" si="746"/>
        <v>0</v>
      </c>
      <c r="AY155" s="43">
        <f t="shared" si="746"/>
        <v>0</v>
      </c>
      <c r="AZ155" s="42">
        <f t="shared" si="712"/>
        <v>15</v>
      </c>
      <c r="BA155" s="58">
        <f t="shared" ref="BA155:BC155" si="747">SUM(BA75:BA78)</f>
        <v>13</v>
      </c>
      <c r="BB155" s="265">
        <f t="shared" si="747"/>
        <v>0</v>
      </c>
      <c r="BC155" s="43">
        <f t="shared" si="747"/>
        <v>0</v>
      </c>
      <c r="BD155" s="42">
        <f t="shared" si="714"/>
        <v>13</v>
      </c>
      <c r="BE155" s="58">
        <f t="shared" ref="BE155:BG155" si="748">SUM(BE75:BE78)</f>
        <v>25</v>
      </c>
      <c r="BF155" s="265">
        <f t="shared" si="748"/>
        <v>1</v>
      </c>
      <c r="BG155" s="43">
        <f t="shared" si="748"/>
        <v>0</v>
      </c>
      <c r="BH155" s="42">
        <f t="shared" si="716"/>
        <v>26</v>
      </c>
      <c r="BI155" s="58">
        <f t="shared" ref="BI155:BK155" si="749">SUM(BI75:BI78)</f>
        <v>0</v>
      </c>
      <c r="BJ155" s="265">
        <f t="shared" si="749"/>
        <v>0</v>
      </c>
      <c r="BK155" s="43">
        <f t="shared" si="749"/>
        <v>0</v>
      </c>
      <c r="BL155" s="42">
        <f t="shared" si="718"/>
        <v>0</v>
      </c>
      <c r="BO155" s="55"/>
      <c r="BP155" s="55"/>
      <c r="BQ155" s="83">
        <f t="shared" si="590"/>
        <v>0.62500000166666669</v>
      </c>
    </row>
    <row r="156" spans="2:69" s="50" customFormat="1" ht="24.95" customHeight="1">
      <c r="B156" s="30">
        <f t="shared" si="734"/>
        <v>0.63541666916666673</v>
      </c>
      <c r="C156" s="31" t="s">
        <v>9</v>
      </c>
      <c r="D156" s="39">
        <f t="shared" si="687"/>
        <v>0.67708333916666674</v>
      </c>
      <c r="E156" s="58">
        <f t="shared" si="688"/>
        <v>72</v>
      </c>
      <c r="F156" s="265">
        <f t="shared" ref="F156:G156" si="750">SUM(F76:F79)</f>
        <v>0</v>
      </c>
      <c r="G156" s="43">
        <f t="shared" si="750"/>
        <v>0</v>
      </c>
      <c r="H156" s="42">
        <f t="shared" si="690"/>
        <v>72</v>
      </c>
      <c r="I156" s="58">
        <f t="shared" ref="I156:K156" si="751">SUM(I76:I79)</f>
        <v>513</v>
      </c>
      <c r="J156" s="265">
        <f t="shared" si="751"/>
        <v>3</v>
      </c>
      <c r="K156" s="43">
        <f t="shared" si="751"/>
        <v>0</v>
      </c>
      <c r="L156" s="42">
        <f t="shared" si="692"/>
        <v>516</v>
      </c>
      <c r="M156" s="58">
        <f t="shared" ref="M156:O156" si="752">SUM(M76:M79)</f>
        <v>22</v>
      </c>
      <c r="N156" s="265">
        <f t="shared" si="752"/>
        <v>1</v>
      </c>
      <c r="O156" s="43">
        <f t="shared" si="752"/>
        <v>0</v>
      </c>
      <c r="P156" s="42">
        <f t="shared" si="694"/>
        <v>23</v>
      </c>
      <c r="Q156" s="58">
        <f t="shared" ref="Q156:S156" si="753">SUM(Q76:Q79)</f>
        <v>39</v>
      </c>
      <c r="R156" s="265">
        <f t="shared" si="753"/>
        <v>0</v>
      </c>
      <c r="S156" s="43">
        <f t="shared" si="753"/>
        <v>0</v>
      </c>
      <c r="T156" s="42">
        <f t="shared" si="696"/>
        <v>39</v>
      </c>
      <c r="U156" s="58">
        <f t="shared" ref="U156:W156" si="754">SUM(U76:U79)</f>
        <v>2</v>
      </c>
      <c r="V156" s="265">
        <f t="shared" si="754"/>
        <v>0</v>
      </c>
      <c r="W156" s="43">
        <f t="shared" si="754"/>
        <v>0</v>
      </c>
      <c r="X156" s="42">
        <f t="shared" si="698"/>
        <v>2</v>
      </c>
      <c r="Y156" s="58">
        <f t="shared" ref="Y156:AA156" si="755">SUM(Y76:Y79)</f>
        <v>33</v>
      </c>
      <c r="Z156" s="265">
        <f t="shared" si="755"/>
        <v>0</v>
      </c>
      <c r="AA156" s="43">
        <f t="shared" si="755"/>
        <v>0</v>
      </c>
      <c r="AB156" s="42">
        <f t="shared" si="700"/>
        <v>33</v>
      </c>
      <c r="AC156" s="58">
        <f t="shared" ref="AC156:AE156" si="756">SUM(AC76:AC79)</f>
        <v>261</v>
      </c>
      <c r="AD156" s="265">
        <f t="shared" si="756"/>
        <v>5</v>
      </c>
      <c r="AE156" s="43">
        <f t="shared" si="756"/>
        <v>0</v>
      </c>
      <c r="AF156" s="42">
        <f t="shared" si="702"/>
        <v>266</v>
      </c>
      <c r="AG156" s="58">
        <f t="shared" ref="AG156:AI156" si="757">SUM(AG76:AG79)</f>
        <v>306</v>
      </c>
      <c r="AH156" s="265">
        <f t="shared" si="757"/>
        <v>7</v>
      </c>
      <c r="AI156" s="43">
        <f t="shared" si="757"/>
        <v>21</v>
      </c>
      <c r="AJ156" s="42">
        <f t="shared" si="704"/>
        <v>334</v>
      </c>
      <c r="AK156" s="58">
        <f t="shared" ref="AK156:AM156" si="758">SUM(AK76:AK79)</f>
        <v>41</v>
      </c>
      <c r="AL156" s="265">
        <f t="shared" si="758"/>
        <v>0</v>
      </c>
      <c r="AM156" s="43">
        <f t="shared" si="758"/>
        <v>0</v>
      </c>
      <c r="AN156" s="42">
        <f t="shared" si="706"/>
        <v>41</v>
      </c>
      <c r="AO156" s="58">
        <f t="shared" ref="AO156:AQ156" si="759">SUM(AO76:AO79)</f>
        <v>14</v>
      </c>
      <c r="AP156" s="265">
        <f t="shared" si="759"/>
        <v>0</v>
      </c>
      <c r="AQ156" s="43">
        <f t="shared" si="759"/>
        <v>0</v>
      </c>
      <c r="AR156" s="42">
        <f t="shared" si="708"/>
        <v>14</v>
      </c>
      <c r="AS156" s="58">
        <f t="shared" ref="AS156:AU156" si="760">SUM(AS76:AS79)</f>
        <v>25</v>
      </c>
      <c r="AT156" s="265">
        <f t="shared" si="760"/>
        <v>0</v>
      </c>
      <c r="AU156" s="43">
        <f t="shared" si="760"/>
        <v>0</v>
      </c>
      <c r="AV156" s="42">
        <f t="shared" si="710"/>
        <v>25</v>
      </c>
      <c r="AW156" s="58">
        <f t="shared" ref="AW156:AY156" si="761">SUM(AW76:AW79)</f>
        <v>17</v>
      </c>
      <c r="AX156" s="265">
        <f t="shared" si="761"/>
        <v>0</v>
      </c>
      <c r="AY156" s="43">
        <f t="shared" si="761"/>
        <v>0</v>
      </c>
      <c r="AZ156" s="42">
        <f t="shared" si="712"/>
        <v>17</v>
      </c>
      <c r="BA156" s="58">
        <f t="shared" ref="BA156:BC156" si="762">SUM(BA76:BA79)</f>
        <v>14</v>
      </c>
      <c r="BB156" s="265">
        <f t="shared" si="762"/>
        <v>0</v>
      </c>
      <c r="BC156" s="43">
        <f t="shared" si="762"/>
        <v>0</v>
      </c>
      <c r="BD156" s="42">
        <f t="shared" si="714"/>
        <v>14</v>
      </c>
      <c r="BE156" s="58">
        <f t="shared" ref="BE156:BG156" si="763">SUM(BE76:BE79)</f>
        <v>21</v>
      </c>
      <c r="BF156" s="265">
        <f t="shared" si="763"/>
        <v>1</v>
      </c>
      <c r="BG156" s="43">
        <f t="shared" si="763"/>
        <v>0</v>
      </c>
      <c r="BH156" s="42">
        <f t="shared" si="716"/>
        <v>22</v>
      </c>
      <c r="BI156" s="58">
        <f t="shared" ref="BI156:BK156" si="764">SUM(BI76:BI79)</f>
        <v>1</v>
      </c>
      <c r="BJ156" s="265">
        <f t="shared" si="764"/>
        <v>0</v>
      </c>
      <c r="BK156" s="43">
        <f t="shared" si="764"/>
        <v>0</v>
      </c>
      <c r="BL156" s="42">
        <f t="shared" si="718"/>
        <v>1</v>
      </c>
      <c r="BO156" s="55"/>
      <c r="BP156" s="55"/>
      <c r="BQ156" s="83">
        <f t="shared" si="590"/>
        <v>0.63541666916666673</v>
      </c>
    </row>
    <row r="157" spans="2:69" s="50" customFormat="1" ht="24.95" customHeight="1">
      <c r="B157" s="37">
        <f t="shared" si="734"/>
        <v>0.64583333666666676</v>
      </c>
      <c r="C157" s="38" t="s">
        <v>9</v>
      </c>
      <c r="D157" s="47">
        <f t="shared" si="687"/>
        <v>0.68750000666666677</v>
      </c>
      <c r="E157" s="58">
        <f t="shared" si="688"/>
        <v>65</v>
      </c>
      <c r="F157" s="265">
        <f t="shared" ref="F157:G157" si="765">SUM(F77:F80)</f>
        <v>1</v>
      </c>
      <c r="G157" s="43">
        <f t="shared" si="765"/>
        <v>0</v>
      </c>
      <c r="H157" s="42">
        <f t="shared" si="690"/>
        <v>66</v>
      </c>
      <c r="I157" s="58">
        <f t="shared" ref="I157:K157" si="766">SUM(I77:I80)</f>
        <v>529</v>
      </c>
      <c r="J157" s="265">
        <f t="shared" si="766"/>
        <v>2</v>
      </c>
      <c r="K157" s="43">
        <f t="shared" si="766"/>
        <v>0</v>
      </c>
      <c r="L157" s="42">
        <f t="shared" si="692"/>
        <v>531</v>
      </c>
      <c r="M157" s="58">
        <f t="shared" ref="M157:O157" si="767">SUM(M77:M80)</f>
        <v>25</v>
      </c>
      <c r="N157" s="265">
        <f t="shared" si="767"/>
        <v>1</v>
      </c>
      <c r="O157" s="43">
        <f t="shared" si="767"/>
        <v>0</v>
      </c>
      <c r="P157" s="42">
        <f t="shared" si="694"/>
        <v>26</v>
      </c>
      <c r="Q157" s="58">
        <f t="shared" ref="Q157:S157" si="768">SUM(Q77:Q80)</f>
        <v>38</v>
      </c>
      <c r="R157" s="265">
        <f t="shared" si="768"/>
        <v>0</v>
      </c>
      <c r="S157" s="43">
        <f t="shared" si="768"/>
        <v>0</v>
      </c>
      <c r="T157" s="42">
        <f t="shared" si="696"/>
        <v>38</v>
      </c>
      <c r="U157" s="58">
        <f t="shared" ref="U157:W157" si="769">SUM(U77:U80)</f>
        <v>2</v>
      </c>
      <c r="V157" s="265">
        <f t="shared" si="769"/>
        <v>0</v>
      </c>
      <c r="W157" s="43">
        <f t="shared" si="769"/>
        <v>0</v>
      </c>
      <c r="X157" s="42">
        <f t="shared" si="698"/>
        <v>2</v>
      </c>
      <c r="Y157" s="58">
        <f t="shared" ref="Y157:AA157" si="770">SUM(Y77:Y80)</f>
        <v>32</v>
      </c>
      <c r="Z157" s="265">
        <f t="shared" si="770"/>
        <v>1</v>
      </c>
      <c r="AA157" s="43">
        <f t="shared" si="770"/>
        <v>0</v>
      </c>
      <c r="AB157" s="42">
        <f t="shared" si="700"/>
        <v>33</v>
      </c>
      <c r="AC157" s="58">
        <f t="shared" ref="AC157:AE157" si="771">SUM(AC77:AC80)</f>
        <v>256</v>
      </c>
      <c r="AD157" s="265">
        <f t="shared" si="771"/>
        <v>5</v>
      </c>
      <c r="AE157" s="43">
        <f t="shared" si="771"/>
        <v>0</v>
      </c>
      <c r="AF157" s="42">
        <f t="shared" si="702"/>
        <v>261</v>
      </c>
      <c r="AG157" s="58">
        <f t="shared" ref="AG157:AI157" si="772">SUM(AG77:AG80)</f>
        <v>346</v>
      </c>
      <c r="AH157" s="265">
        <f t="shared" si="772"/>
        <v>9</v>
      </c>
      <c r="AI157" s="43">
        <f t="shared" si="772"/>
        <v>24</v>
      </c>
      <c r="AJ157" s="42">
        <f t="shared" si="704"/>
        <v>379</v>
      </c>
      <c r="AK157" s="58">
        <f t="shared" ref="AK157:AM157" si="773">SUM(AK77:AK80)</f>
        <v>37</v>
      </c>
      <c r="AL157" s="265">
        <f t="shared" si="773"/>
        <v>0</v>
      </c>
      <c r="AM157" s="43">
        <f t="shared" si="773"/>
        <v>0</v>
      </c>
      <c r="AN157" s="42">
        <f t="shared" si="706"/>
        <v>37</v>
      </c>
      <c r="AO157" s="58">
        <f t="shared" ref="AO157:AQ157" si="774">SUM(AO77:AO80)</f>
        <v>9</v>
      </c>
      <c r="AP157" s="265">
        <f t="shared" si="774"/>
        <v>0</v>
      </c>
      <c r="AQ157" s="43">
        <f t="shared" si="774"/>
        <v>0</v>
      </c>
      <c r="AR157" s="42">
        <f t="shared" si="708"/>
        <v>9</v>
      </c>
      <c r="AS157" s="58">
        <f t="shared" ref="AS157:AU157" si="775">SUM(AS77:AS80)</f>
        <v>28</v>
      </c>
      <c r="AT157" s="265">
        <f t="shared" si="775"/>
        <v>0</v>
      </c>
      <c r="AU157" s="43">
        <f t="shared" si="775"/>
        <v>0</v>
      </c>
      <c r="AV157" s="42">
        <f t="shared" si="710"/>
        <v>28</v>
      </c>
      <c r="AW157" s="58">
        <f t="shared" ref="AW157:AY157" si="776">SUM(AW77:AW80)</f>
        <v>17</v>
      </c>
      <c r="AX157" s="265">
        <f t="shared" si="776"/>
        <v>0</v>
      </c>
      <c r="AY157" s="43">
        <f t="shared" si="776"/>
        <v>0</v>
      </c>
      <c r="AZ157" s="42">
        <f t="shared" si="712"/>
        <v>17</v>
      </c>
      <c r="BA157" s="58">
        <f t="shared" ref="BA157:BC157" si="777">SUM(BA77:BA80)</f>
        <v>22</v>
      </c>
      <c r="BB157" s="265">
        <f t="shared" si="777"/>
        <v>0</v>
      </c>
      <c r="BC157" s="43">
        <f t="shared" si="777"/>
        <v>0</v>
      </c>
      <c r="BD157" s="42">
        <f t="shared" si="714"/>
        <v>22</v>
      </c>
      <c r="BE157" s="58">
        <f t="shared" ref="BE157:BG157" si="778">SUM(BE77:BE80)</f>
        <v>23</v>
      </c>
      <c r="BF157" s="265">
        <f t="shared" si="778"/>
        <v>0</v>
      </c>
      <c r="BG157" s="43">
        <f t="shared" si="778"/>
        <v>0</v>
      </c>
      <c r="BH157" s="42">
        <f t="shared" si="716"/>
        <v>23</v>
      </c>
      <c r="BI157" s="58">
        <f t="shared" ref="BI157:BK157" si="779">SUM(BI77:BI80)</f>
        <v>1</v>
      </c>
      <c r="BJ157" s="265">
        <f t="shared" si="779"/>
        <v>0</v>
      </c>
      <c r="BK157" s="43">
        <f t="shared" si="779"/>
        <v>0</v>
      </c>
      <c r="BL157" s="42">
        <f t="shared" si="718"/>
        <v>1</v>
      </c>
      <c r="BO157" s="55"/>
      <c r="BP157" s="55"/>
      <c r="BQ157" s="83">
        <f t="shared" si="590"/>
        <v>0.64583333666666676</v>
      </c>
    </row>
    <row r="158" spans="2:69" s="50" customFormat="1" ht="24.95" customHeight="1">
      <c r="B158" s="37">
        <f t="shared" si="734"/>
        <v>0.65625000416666679</v>
      </c>
      <c r="C158" s="38" t="s">
        <v>9</v>
      </c>
      <c r="D158" s="47">
        <f t="shared" ref="D158:D159" si="780">SUM(0.04166667)+B158</f>
        <v>0.69791667416666681</v>
      </c>
      <c r="E158" s="58">
        <f t="shared" si="688"/>
        <v>57</v>
      </c>
      <c r="F158" s="265">
        <f t="shared" ref="F158:G158" si="781">SUM(F78:F81)</f>
        <v>1</v>
      </c>
      <c r="G158" s="43">
        <f t="shared" si="781"/>
        <v>0</v>
      </c>
      <c r="H158" s="42">
        <f t="shared" si="690"/>
        <v>58</v>
      </c>
      <c r="I158" s="58">
        <f t="shared" ref="I158:K158" si="782">SUM(I78:I81)</f>
        <v>557</v>
      </c>
      <c r="J158" s="265">
        <f t="shared" si="782"/>
        <v>1</v>
      </c>
      <c r="K158" s="43">
        <f t="shared" si="782"/>
        <v>0</v>
      </c>
      <c r="L158" s="42">
        <f t="shared" si="692"/>
        <v>558</v>
      </c>
      <c r="M158" s="58">
        <f t="shared" ref="M158:O158" si="783">SUM(M78:M81)</f>
        <v>18</v>
      </c>
      <c r="N158" s="265">
        <f t="shared" si="783"/>
        <v>1</v>
      </c>
      <c r="O158" s="43">
        <f t="shared" si="783"/>
        <v>0</v>
      </c>
      <c r="P158" s="42">
        <f t="shared" si="694"/>
        <v>19</v>
      </c>
      <c r="Q158" s="58">
        <f t="shared" ref="Q158:S158" si="784">SUM(Q78:Q81)</f>
        <v>41</v>
      </c>
      <c r="R158" s="265">
        <f t="shared" si="784"/>
        <v>0</v>
      </c>
      <c r="S158" s="43">
        <f t="shared" si="784"/>
        <v>0</v>
      </c>
      <c r="T158" s="42">
        <f t="shared" si="696"/>
        <v>41</v>
      </c>
      <c r="U158" s="58">
        <f t="shared" ref="U158:W158" si="785">SUM(U78:U81)</f>
        <v>2</v>
      </c>
      <c r="V158" s="265">
        <f t="shared" si="785"/>
        <v>0</v>
      </c>
      <c r="W158" s="43">
        <f t="shared" si="785"/>
        <v>0</v>
      </c>
      <c r="X158" s="42">
        <f t="shared" si="698"/>
        <v>2</v>
      </c>
      <c r="Y158" s="58">
        <f t="shared" ref="Y158:AA158" si="786">SUM(Y78:Y81)</f>
        <v>36</v>
      </c>
      <c r="Z158" s="265">
        <f t="shared" si="786"/>
        <v>1</v>
      </c>
      <c r="AA158" s="43">
        <f t="shared" si="786"/>
        <v>0</v>
      </c>
      <c r="AB158" s="42">
        <f t="shared" si="700"/>
        <v>37</v>
      </c>
      <c r="AC158" s="58">
        <f t="shared" ref="AC158:AE158" si="787">SUM(AC78:AC81)</f>
        <v>260</v>
      </c>
      <c r="AD158" s="265">
        <f t="shared" si="787"/>
        <v>4</v>
      </c>
      <c r="AE158" s="43">
        <f t="shared" si="787"/>
        <v>0</v>
      </c>
      <c r="AF158" s="42">
        <f t="shared" si="702"/>
        <v>264</v>
      </c>
      <c r="AG158" s="58">
        <f t="shared" ref="AG158:AI158" si="788">SUM(AG78:AG81)</f>
        <v>357</v>
      </c>
      <c r="AH158" s="265">
        <f t="shared" si="788"/>
        <v>9</v>
      </c>
      <c r="AI158" s="43">
        <f t="shared" si="788"/>
        <v>28</v>
      </c>
      <c r="AJ158" s="42">
        <f t="shared" si="704"/>
        <v>394</v>
      </c>
      <c r="AK158" s="58">
        <f t="shared" ref="AK158:AM158" si="789">SUM(AK78:AK81)</f>
        <v>36</v>
      </c>
      <c r="AL158" s="265">
        <f t="shared" si="789"/>
        <v>0</v>
      </c>
      <c r="AM158" s="43">
        <f t="shared" si="789"/>
        <v>0</v>
      </c>
      <c r="AN158" s="42">
        <f t="shared" si="706"/>
        <v>36</v>
      </c>
      <c r="AO158" s="58">
        <f t="shared" ref="AO158:AQ158" si="790">SUM(AO78:AO81)</f>
        <v>7</v>
      </c>
      <c r="AP158" s="265">
        <f t="shared" si="790"/>
        <v>0</v>
      </c>
      <c r="AQ158" s="43">
        <f t="shared" si="790"/>
        <v>0</v>
      </c>
      <c r="AR158" s="42">
        <f t="shared" si="708"/>
        <v>7</v>
      </c>
      <c r="AS158" s="58">
        <f t="shared" ref="AS158:AU158" si="791">SUM(AS78:AS81)</f>
        <v>30</v>
      </c>
      <c r="AT158" s="265">
        <f t="shared" si="791"/>
        <v>0</v>
      </c>
      <c r="AU158" s="43">
        <f t="shared" si="791"/>
        <v>0</v>
      </c>
      <c r="AV158" s="42">
        <f t="shared" si="710"/>
        <v>30</v>
      </c>
      <c r="AW158" s="58">
        <f t="shared" ref="AW158:AY158" si="792">SUM(AW78:AW81)</f>
        <v>16</v>
      </c>
      <c r="AX158" s="265">
        <f t="shared" si="792"/>
        <v>0</v>
      </c>
      <c r="AY158" s="43">
        <f t="shared" si="792"/>
        <v>0</v>
      </c>
      <c r="AZ158" s="42">
        <f t="shared" si="712"/>
        <v>16</v>
      </c>
      <c r="BA158" s="58">
        <f t="shared" ref="BA158:BC158" si="793">SUM(BA78:BA81)</f>
        <v>31</v>
      </c>
      <c r="BB158" s="265">
        <f t="shared" si="793"/>
        <v>0</v>
      </c>
      <c r="BC158" s="43">
        <f t="shared" si="793"/>
        <v>0</v>
      </c>
      <c r="BD158" s="42">
        <f t="shared" si="714"/>
        <v>31</v>
      </c>
      <c r="BE158" s="58">
        <f t="shared" ref="BE158:BG158" si="794">SUM(BE78:BE81)</f>
        <v>26</v>
      </c>
      <c r="BF158" s="265">
        <f t="shared" si="794"/>
        <v>0</v>
      </c>
      <c r="BG158" s="43">
        <f t="shared" si="794"/>
        <v>0</v>
      </c>
      <c r="BH158" s="42">
        <f t="shared" si="716"/>
        <v>26</v>
      </c>
      <c r="BI158" s="58">
        <f t="shared" ref="BI158:BK158" si="795">SUM(BI78:BI81)</f>
        <v>1</v>
      </c>
      <c r="BJ158" s="265">
        <f t="shared" si="795"/>
        <v>0</v>
      </c>
      <c r="BK158" s="43">
        <f t="shared" si="795"/>
        <v>0</v>
      </c>
      <c r="BL158" s="42">
        <f t="shared" si="718"/>
        <v>1</v>
      </c>
      <c r="BO158" s="55"/>
      <c r="BP158" s="55"/>
      <c r="BQ158" s="83">
        <f t="shared" si="590"/>
        <v>0.65625000416666679</v>
      </c>
    </row>
    <row r="159" spans="2:69" s="50" customFormat="1" ht="24.95" customHeight="1">
      <c r="B159" s="37">
        <f t="shared" si="734"/>
        <v>0.66666667166666682</v>
      </c>
      <c r="C159" s="38" t="s">
        <v>9</v>
      </c>
      <c r="D159" s="47">
        <f t="shared" si="780"/>
        <v>0.70833334166666684</v>
      </c>
      <c r="E159" s="58">
        <f t="shared" si="688"/>
        <v>67</v>
      </c>
      <c r="F159" s="265">
        <f t="shared" ref="F159:G159" si="796">SUM(F79:F82)</f>
        <v>1</v>
      </c>
      <c r="G159" s="43">
        <f t="shared" si="796"/>
        <v>0</v>
      </c>
      <c r="H159" s="42">
        <f t="shared" si="690"/>
        <v>68</v>
      </c>
      <c r="I159" s="58">
        <f t="shared" ref="I159:K159" si="797">SUM(I79:I82)</f>
        <v>572</v>
      </c>
      <c r="J159" s="265">
        <f t="shared" si="797"/>
        <v>2</v>
      </c>
      <c r="K159" s="43">
        <f t="shared" si="797"/>
        <v>0</v>
      </c>
      <c r="L159" s="42">
        <f t="shared" si="692"/>
        <v>574</v>
      </c>
      <c r="M159" s="58">
        <f t="shared" ref="M159:O159" si="798">SUM(M79:M82)</f>
        <v>22</v>
      </c>
      <c r="N159" s="265">
        <f t="shared" si="798"/>
        <v>1</v>
      </c>
      <c r="O159" s="43">
        <f t="shared" si="798"/>
        <v>0</v>
      </c>
      <c r="P159" s="42">
        <f t="shared" si="694"/>
        <v>23</v>
      </c>
      <c r="Q159" s="58">
        <f t="shared" ref="Q159:S159" si="799">SUM(Q79:Q82)</f>
        <v>43</v>
      </c>
      <c r="R159" s="265">
        <f t="shared" si="799"/>
        <v>0</v>
      </c>
      <c r="S159" s="43">
        <f t="shared" si="799"/>
        <v>0</v>
      </c>
      <c r="T159" s="42">
        <f t="shared" si="696"/>
        <v>43</v>
      </c>
      <c r="U159" s="58">
        <f t="shared" ref="U159:W159" si="800">SUM(U79:U82)</f>
        <v>3</v>
      </c>
      <c r="V159" s="265">
        <f t="shared" si="800"/>
        <v>0</v>
      </c>
      <c r="W159" s="43">
        <f t="shared" si="800"/>
        <v>0</v>
      </c>
      <c r="X159" s="42">
        <f t="shared" si="698"/>
        <v>3</v>
      </c>
      <c r="Y159" s="58">
        <f t="shared" ref="Y159:AA159" si="801">SUM(Y79:Y82)</f>
        <v>34</v>
      </c>
      <c r="Z159" s="265">
        <f t="shared" si="801"/>
        <v>1</v>
      </c>
      <c r="AA159" s="43">
        <f t="shared" si="801"/>
        <v>0</v>
      </c>
      <c r="AB159" s="42">
        <f t="shared" si="700"/>
        <v>35</v>
      </c>
      <c r="AC159" s="58">
        <f t="shared" ref="AC159:AE159" si="802">SUM(AC79:AC82)</f>
        <v>253</v>
      </c>
      <c r="AD159" s="265">
        <f t="shared" si="802"/>
        <v>6</v>
      </c>
      <c r="AE159" s="43">
        <f t="shared" si="802"/>
        <v>0</v>
      </c>
      <c r="AF159" s="42">
        <f t="shared" si="702"/>
        <v>259</v>
      </c>
      <c r="AG159" s="58">
        <f t="shared" ref="AG159:AI159" si="803">SUM(AG79:AG82)</f>
        <v>342</v>
      </c>
      <c r="AH159" s="265">
        <f t="shared" si="803"/>
        <v>6</v>
      </c>
      <c r="AI159" s="43">
        <f t="shared" si="803"/>
        <v>25</v>
      </c>
      <c r="AJ159" s="42">
        <f t="shared" si="704"/>
        <v>373</v>
      </c>
      <c r="AK159" s="58">
        <f t="shared" ref="AK159:AM159" si="804">SUM(AK79:AK82)</f>
        <v>43</v>
      </c>
      <c r="AL159" s="265">
        <f t="shared" si="804"/>
        <v>0</v>
      </c>
      <c r="AM159" s="43">
        <f t="shared" si="804"/>
        <v>0</v>
      </c>
      <c r="AN159" s="42">
        <f t="shared" si="706"/>
        <v>43</v>
      </c>
      <c r="AO159" s="58">
        <f t="shared" ref="AO159:AQ159" si="805">SUM(AO79:AO82)</f>
        <v>12</v>
      </c>
      <c r="AP159" s="265">
        <f t="shared" si="805"/>
        <v>0</v>
      </c>
      <c r="AQ159" s="43">
        <f t="shared" si="805"/>
        <v>0</v>
      </c>
      <c r="AR159" s="42">
        <f t="shared" si="708"/>
        <v>12</v>
      </c>
      <c r="AS159" s="58">
        <f t="shared" ref="AS159:AU159" si="806">SUM(AS79:AS82)</f>
        <v>32</v>
      </c>
      <c r="AT159" s="265">
        <f t="shared" si="806"/>
        <v>0</v>
      </c>
      <c r="AU159" s="43">
        <f t="shared" si="806"/>
        <v>0</v>
      </c>
      <c r="AV159" s="42">
        <f t="shared" si="710"/>
        <v>32</v>
      </c>
      <c r="AW159" s="58">
        <f t="shared" ref="AW159:AY159" si="807">SUM(AW79:AW82)</f>
        <v>16</v>
      </c>
      <c r="AX159" s="265">
        <f t="shared" si="807"/>
        <v>0</v>
      </c>
      <c r="AY159" s="43">
        <f t="shared" si="807"/>
        <v>0</v>
      </c>
      <c r="AZ159" s="42">
        <f t="shared" si="712"/>
        <v>16</v>
      </c>
      <c r="BA159" s="58">
        <f t="shared" ref="BA159:BC159" si="808">SUM(BA79:BA82)</f>
        <v>35</v>
      </c>
      <c r="BB159" s="265">
        <f t="shared" si="808"/>
        <v>0</v>
      </c>
      <c r="BC159" s="43">
        <f t="shared" si="808"/>
        <v>0</v>
      </c>
      <c r="BD159" s="42">
        <f t="shared" si="714"/>
        <v>35</v>
      </c>
      <c r="BE159" s="58">
        <f t="shared" ref="BE159:BG159" si="809">SUM(BE79:BE82)</f>
        <v>30</v>
      </c>
      <c r="BF159" s="265">
        <f t="shared" si="809"/>
        <v>0</v>
      </c>
      <c r="BG159" s="43">
        <f t="shared" si="809"/>
        <v>0</v>
      </c>
      <c r="BH159" s="42">
        <f t="shared" si="716"/>
        <v>30</v>
      </c>
      <c r="BI159" s="58">
        <f t="shared" ref="BI159:BK159" si="810">SUM(BI79:BI82)</f>
        <v>1</v>
      </c>
      <c r="BJ159" s="265">
        <f t="shared" si="810"/>
        <v>0</v>
      </c>
      <c r="BK159" s="43">
        <f t="shared" si="810"/>
        <v>0</v>
      </c>
      <c r="BL159" s="42">
        <f t="shared" si="718"/>
        <v>1</v>
      </c>
      <c r="BO159" s="55"/>
      <c r="BP159" s="55"/>
      <c r="BQ159" s="83">
        <f t="shared" si="590"/>
        <v>0.66666667166666682</v>
      </c>
    </row>
    <row r="160" spans="2:69" s="50" customFormat="1" ht="24.95" customHeight="1">
      <c r="B160" s="37">
        <f t="shared" si="734"/>
        <v>0.67708333916666685</v>
      </c>
      <c r="C160" s="38" t="s">
        <v>9</v>
      </c>
      <c r="D160" s="47">
        <f t="shared" ref="D160:D165" si="811">SUM(0.04166667)+B160</f>
        <v>0.71875000916666687</v>
      </c>
      <c r="E160" s="58">
        <f t="shared" ref="E160" si="812">SUM(E80:E83)</f>
        <v>84</v>
      </c>
      <c r="F160" s="265">
        <f t="shared" ref="F160:G160" si="813">SUM(F80:F83)</f>
        <v>1</v>
      </c>
      <c r="G160" s="43">
        <f t="shared" si="813"/>
        <v>0</v>
      </c>
      <c r="H160" s="42">
        <f t="shared" ref="H160:H165" si="814">SUM(E160:G160)</f>
        <v>85</v>
      </c>
      <c r="I160" s="58">
        <f t="shared" ref="I160:K160" si="815">SUM(I80:I83)</f>
        <v>594</v>
      </c>
      <c r="J160" s="265">
        <f t="shared" si="815"/>
        <v>4</v>
      </c>
      <c r="K160" s="43">
        <f t="shared" si="815"/>
        <v>0</v>
      </c>
      <c r="L160" s="42">
        <f t="shared" ref="L160:L165" si="816">SUM(I160:K160)</f>
        <v>598</v>
      </c>
      <c r="M160" s="58">
        <f t="shared" ref="M160:O160" si="817">SUM(M80:M83)</f>
        <v>30</v>
      </c>
      <c r="N160" s="265">
        <f t="shared" si="817"/>
        <v>1</v>
      </c>
      <c r="O160" s="43">
        <f t="shared" si="817"/>
        <v>0</v>
      </c>
      <c r="P160" s="42">
        <f t="shared" ref="P160:P165" si="818">SUM(M160:O160)</f>
        <v>31</v>
      </c>
      <c r="Q160" s="58">
        <f t="shared" ref="Q160:S160" si="819">SUM(Q80:Q83)</f>
        <v>46</v>
      </c>
      <c r="R160" s="265">
        <f t="shared" si="819"/>
        <v>0</v>
      </c>
      <c r="S160" s="43">
        <f t="shared" si="819"/>
        <v>0</v>
      </c>
      <c r="T160" s="42">
        <f t="shared" si="696"/>
        <v>46</v>
      </c>
      <c r="U160" s="58">
        <f t="shared" ref="U160:W160" si="820">SUM(U80:U83)</f>
        <v>5</v>
      </c>
      <c r="V160" s="265">
        <f t="shared" si="820"/>
        <v>0</v>
      </c>
      <c r="W160" s="43">
        <f t="shared" si="820"/>
        <v>0</v>
      </c>
      <c r="X160" s="42">
        <f t="shared" ref="X160:X165" si="821">SUM(U160:W160)</f>
        <v>5</v>
      </c>
      <c r="Y160" s="58">
        <f t="shared" ref="Y160:AA160" si="822">SUM(Y80:Y83)</f>
        <v>32</v>
      </c>
      <c r="Z160" s="265">
        <f t="shared" si="822"/>
        <v>1</v>
      </c>
      <c r="AA160" s="43">
        <f t="shared" si="822"/>
        <v>0</v>
      </c>
      <c r="AB160" s="42">
        <f t="shared" ref="AB160:AB165" si="823">SUM(Y160:AA160)</f>
        <v>33</v>
      </c>
      <c r="AC160" s="58">
        <f t="shared" ref="AC160:AE160" si="824">SUM(AC80:AC83)</f>
        <v>234</v>
      </c>
      <c r="AD160" s="265">
        <f t="shared" si="824"/>
        <v>4</v>
      </c>
      <c r="AE160" s="43">
        <f t="shared" si="824"/>
        <v>0</v>
      </c>
      <c r="AF160" s="42">
        <f t="shared" ref="AF160:AF165" si="825">SUM(AC160:AE160)</f>
        <v>238</v>
      </c>
      <c r="AG160" s="58">
        <f t="shared" ref="AG160:AI160" si="826">SUM(AG80:AG83)</f>
        <v>340</v>
      </c>
      <c r="AH160" s="265">
        <f t="shared" si="826"/>
        <v>4</v>
      </c>
      <c r="AI160" s="43">
        <f t="shared" si="826"/>
        <v>22</v>
      </c>
      <c r="AJ160" s="42">
        <f t="shared" ref="AJ160:AJ165" si="827">SUM(AG160:AI160)</f>
        <v>366</v>
      </c>
      <c r="AK160" s="58">
        <f t="shared" ref="AK160:AM160" si="828">SUM(AK80:AK83)</f>
        <v>41</v>
      </c>
      <c r="AL160" s="265">
        <f t="shared" si="828"/>
        <v>0</v>
      </c>
      <c r="AM160" s="43">
        <f t="shared" si="828"/>
        <v>0</v>
      </c>
      <c r="AN160" s="42">
        <f t="shared" si="706"/>
        <v>41</v>
      </c>
      <c r="AO160" s="58">
        <f t="shared" ref="AO160:AQ160" si="829">SUM(AO80:AO83)</f>
        <v>9</v>
      </c>
      <c r="AP160" s="265">
        <f t="shared" si="829"/>
        <v>0</v>
      </c>
      <c r="AQ160" s="43">
        <f t="shared" si="829"/>
        <v>0</v>
      </c>
      <c r="AR160" s="42">
        <f t="shared" ref="AR160:AR165" si="830">SUM(AO160:AQ160)</f>
        <v>9</v>
      </c>
      <c r="AS160" s="58">
        <f t="shared" ref="AS160:AU160" si="831">SUM(AS80:AS83)</f>
        <v>36</v>
      </c>
      <c r="AT160" s="265">
        <f t="shared" si="831"/>
        <v>0</v>
      </c>
      <c r="AU160" s="43">
        <f t="shared" si="831"/>
        <v>0</v>
      </c>
      <c r="AV160" s="42">
        <f t="shared" si="710"/>
        <v>36</v>
      </c>
      <c r="AW160" s="58">
        <f t="shared" ref="AW160:AY160" si="832">SUM(AW80:AW83)</f>
        <v>20</v>
      </c>
      <c r="AX160" s="265">
        <f t="shared" si="832"/>
        <v>0</v>
      </c>
      <c r="AY160" s="43">
        <f t="shared" si="832"/>
        <v>0</v>
      </c>
      <c r="AZ160" s="42">
        <f t="shared" si="712"/>
        <v>20</v>
      </c>
      <c r="BA160" s="58">
        <f t="shared" ref="BA160:BC160" si="833">SUM(BA80:BA83)</f>
        <v>37</v>
      </c>
      <c r="BB160" s="265">
        <f t="shared" si="833"/>
        <v>0</v>
      </c>
      <c r="BC160" s="43">
        <f t="shared" si="833"/>
        <v>0</v>
      </c>
      <c r="BD160" s="42">
        <f t="shared" si="714"/>
        <v>37</v>
      </c>
      <c r="BE160" s="58">
        <f t="shared" ref="BE160:BG160" si="834">SUM(BE80:BE83)</f>
        <v>33</v>
      </c>
      <c r="BF160" s="265">
        <f t="shared" si="834"/>
        <v>0</v>
      </c>
      <c r="BG160" s="43">
        <f t="shared" si="834"/>
        <v>0</v>
      </c>
      <c r="BH160" s="42">
        <f t="shared" si="716"/>
        <v>33</v>
      </c>
      <c r="BI160" s="58">
        <f t="shared" ref="BI160:BK160" si="835">SUM(BI80:BI83)</f>
        <v>0</v>
      </c>
      <c r="BJ160" s="265">
        <f t="shared" si="835"/>
        <v>0</v>
      </c>
      <c r="BK160" s="43">
        <f t="shared" si="835"/>
        <v>0</v>
      </c>
      <c r="BL160" s="42">
        <f t="shared" si="718"/>
        <v>0</v>
      </c>
      <c r="BO160" s="55"/>
      <c r="BP160" s="55"/>
      <c r="BQ160" s="83">
        <f t="shared" si="590"/>
        <v>0.67708333916666685</v>
      </c>
    </row>
    <row r="161" spans="2:69" s="50" customFormat="1" ht="24.95" customHeight="1">
      <c r="B161" s="37">
        <f t="shared" si="734"/>
        <v>0.68750000666666689</v>
      </c>
      <c r="C161" s="38" t="s">
        <v>9</v>
      </c>
      <c r="D161" s="47">
        <f t="shared" si="811"/>
        <v>0.7291666766666669</v>
      </c>
      <c r="E161" s="58">
        <f t="shared" ref="E161" si="836">SUM(E81:E84)</f>
        <v>91</v>
      </c>
      <c r="F161" s="265">
        <f t="shared" ref="F161:G161" si="837">SUM(F81:F84)</f>
        <v>0</v>
      </c>
      <c r="G161" s="43">
        <f t="shared" si="837"/>
        <v>0</v>
      </c>
      <c r="H161" s="42">
        <f t="shared" si="814"/>
        <v>91</v>
      </c>
      <c r="I161" s="58">
        <f t="shared" ref="I161:K161" si="838">SUM(I81:I84)</f>
        <v>561</v>
      </c>
      <c r="J161" s="265">
        <f t="shared" si="838"/>
        <v>4</v>
      </c>
      <c r="K161" s="43">
        <f t="shared" si="838"/>
        <v>0</v>
      </c>
      <c r="L161" s="42">
        <f t="shared" si="816"/>
        <v>565</v>
      </c>
      <c r="M161" s="58">
        <f t="shared" ref="M161:O161" si="839">SUM(M81:M84)</f>
        <v>41</v>
      </c>
      <c r="N161" s="265">
        <f t="shared" si="839"/>
        <v>1</v>
      </c>
      <c r="O161" s="43">
        <f t="shared" si="839"/>
        <v>0</v>
      </c>
      <c r="P161" s="42">
        <f t="shared" si="818"/>
        <v>42</v>
      </c>
      <c r="Q161" s="58">
        <f t="shared" ref="Q161:S161" si="840">SUM(Q81:Q84)</f>
        <v>43</v>
      </c>
      <c r="R161" s="265">
        <f t="shared" si="840"/>
        <v>0</v>
      </c>
      <c r="S161" s="43">
        <f t="shared" si="840"/>
        <v>0</v>
      </c>
      <c r="T161" s="42">
        <f t="shared" si="696"/>
        <v>43</v>
      </c>
      <c r="U161" s="58">
        <f t="shared" ref="U161:W161" si="841">SUM(U81:U84)</f>
        <v>4</v>
      </c>
      <c r="V161" s="265">
        <f t="shared" si="841"/>
        <v>0</v>
      </c>
      <c r="W161" s="43">
        <f t="shared" si="841"/>
        <v>0</v>
      </c>
      <c r="X161" s="42">
        <f t="shared" si="821"/>
        <v>4</v>
      </c>
      <c r="Y161" s="58">
        <f t="shared" ref="Y161:AA161" si="842">SUM(Y81:Y84)</f>
        <v>32</v>
      </c>
      <c r="Z161" s="265">
        <f t="shared" si="842"/>
        <v>0</v>
      </c>
      <c r="AA161" s="43">
        <f t="shared" si="842"/>
        <v>0</v>
      </c>
      <c r="AB161" s="42">
        <f t="shared" si="823"/>
        <v>32</v>
      </c>
      <c r="AC161" s="58">
        <f t="shared" ref="AC161:AE161" si="843">SUM(AC81:AC84)</f>
        <v>235</v>
      </c>
      <c r="AD161" s="265">
        <f t="shared" si="843"/>
        <v>3</v>
      </c>
      <c r="AE161" s="43">
        <f t="shared" si="843"/>
        <v>0</v>
      </c>
      <c r="AF161" s="42">
        <f t="shared" si="825"/>
        <v>238</v>
      </c>
      <c r="AG161" s="58">
        <f t="shared" ref="AG161:AI161" si="844">SUM(AG81:AG84)</f>
        <v>325</v>
      </c>
      <c r="AH161" s="265">
        <f t="shared" si="844"/>
        <v>3</v>
      </c>
      <c r="AI161" s="43">
        <f t="shared" si="844"/>
        <v>21</v>
      </c>
      <c r="AJ161" s="42">
        <f t="shared" si="827"/>
        <v>349</v>
      </c>
      <c r="AK161" s="58">
        <f t="shared" ref="AK161:AM161" si="845">SUM(AK81:AK84)</f>
        <v>45</v>
      </c>
      <c r="AL161" s="265">
        <f t="shared" si="845"/>
        <v>0</v>
      </c>
      <c r="AM161" s="43">
        <f t="shared" si="845"/>
        <v>0</v>
      </c>
      <c r="AN161" s="42">
        <f t="shared" si="706"/>
        <v>45</v>
      </c>
      <c r="AO161" s="58">
        <f t="shared" ref="AO161:AQ161" si="846">SUM(AO81:AO84)</f>
        <v>11</v>
      </c>
      <c r="AP161" s="265">
        <f t="shared" si="846"/>
        <v>0</v>
      </c>
      <c r="AQ161" s="43">
        <f t="shared" si="846"/>
        <v>0</v>
      </c>
      <c r="AR161" s="42">
        <f t="shared" si="830"/>
        <v>11</v>
      </c>
      <c r="AS161" s="58">
        <f t="shared" ref="AS161:AU161" si="847">SUM(AS81:AS84)</f>
        <v>38</v>
      </c>
      <c r="AT161" s="265">
        <f t="shared" si="847"/>
        <v>0</v>
      </c>
      <c r="AU161" s="43">
        <f t="shared" si="847"/>
        <v>0</v>
      </c>
      <c r="AV161" s="42">
        <f t="shared" si="710"/>
        <v>38</v>
      </c>
      <c r="AW161" s="58">
        <f t="shared" ref="AW161:AY161" si="848">SUM(AW81:AW84)</f>
        <v>22</v>
      </c>
      <c r="AX161" s="265">
        <f t="shared" si="848"/>
        <v>0</v>
      </c>
      <c r="AY161" s="43">
        <f t="shared" si="848"/>
        <v>0</v>
      </c>
      <c r="AZ161" s="42">
        <f t="shared" si="712"/>
        <v>22</v>
      </c>
      <c r="BA161" s="58">
        <f t="shared" ref="BA161:BC161" si="849">SUM(BA81:BA84)</f>
        <v>35</v>
      </c>
      <c r="BB161" s="265">
        <f t="shared" si="849"/>
        <v>0</v>
      </c>
      <c r="BC161" s="43">
        <f t="shared" si="849"/>
        <v>0</v>
      </c>
      <c r="BD161" s="42">
        <f t="shared" si="714"/>
        <v>35</v>
      </c>
      <c r="BE161" s="58">
        <f t="shared" ref="BE161:BG161" si="850">SUM(BE81:BE84)</f>
        <v>28</v>
      </c>
      <c r="BF161" s="265">
        <f t="shared" si="850"/>
        <v>0</v>
      </c>
      <c r="BG161" s="43">
        <f t="shared" si="850"/>
        <v>0</v>
      </c>
      <c r="BH161" s="42">
        <f t="shared" si="716"/>
        <v>28</v>
      </c>
      <c r="BI161" s="58">
        <f t="shared" ref="BI161:BK161" si="851">SUM(BI81:BI84)</f>
        <v>0</v>
      </c>
      <c r="BJ161" s="265">
        <f t="shared" si="851"/>
        <v>0</v>
      </c>
      <c r="BK161" s="43">
        <f t="shared" si="851"/>
        <v>0</v>
      </c>
      <c r="BL161" s="42">
        <f t="shared" si="718"/>
        <v>0</v>
      </c>
      <c r="BO161" s="55"/>
      <c r="BP161" s="55"/>
      <c r="BQ161" s="83">
        <f t="shared" si="590"/>
        <v>0.68750000666666689</v>
      </c>
    </row>
    <row r="162" spans="2:69" s="50" customFormat="1" ht="24.95" customHeight="1">
      <c r="B162" s="37">
        <f t="shared" si="734"/>
        <v>0.69791667416666692</v>
      </c>
      <c r="C162" s="38" t="s">
        <v>9</v>
      </c>
      <c r="D162" s="47">
        <f t="shared" si="811"/>
        <v>0.73958334416666693</v>
      </c>
      <c r="E162" s="58">
        <f t="shared" ref="E162" si="852">SUM(E82:E85)</f>
        <v>99</v>
      </c>
      <c r="F162" s="265">
        <f t="shared" ref="F162:G162" si="853">SUM(F82:F85)</f>
        <v>0</v>
      </c>
      <c r="G162" s="43">
        <f t="shared" si="853"/>
        <v>0</v>
      </c>
      <c r="H162" s="42">
        <f t="shared" si="814"/>
        <v>99</v>
      </c>
      <c r="I162" s="58">
        <f t="shared" ref="I162:K162" si="854">SUM(I82:I85)</f>
        <v>562</v>
      </c>
      <c r="J162" s="265">
        <f t="shared" si="854"/>
        <v>4</v>
      </c>
      <c r="K162" s="43">
        <f t="shared" si="854"/>
        <v>0</v>
      </c>
      <c r="L162" s="42">
        <f t="shared" si="816"/>
        <v>566</v>
      </c>
      <c r="M162" s="58">
        <f t="shared" ref="M162:O162" si="855">SUM(M82:M85)</f>
        <v>47</v>
      </c>
      <c r="N162" s="265">
        <f t="shared" si="855"/>
        <v>0</v>
      </c>
      <c r="O162" s="43">
        <f t="shared" si="855"/>
        <v>0</v>
      </c>
      <c r="P162" s="42">
        <f t="shared" si="818"/>
        <v>47</v>
      </c>
      <c r="Q162" s="58">
        <f t="shared" ref="Q162:S162" si="856">SUM(Q82:Q85)</f>
        <v>44</v>
      </c>
      <c r="R162" s="265">
        <f t="shared" si="856"/>
        <v>0</v>
      </c>
      <c r="S162" s="43">
        <f t="shared" si="856"/>
        <v>0</v>
      </c>
      <c r="T162" s="42">
        <f t="shared" si="696"/>
        <v>44</v>
      </c>
      <c r="U162" s="58">
        <f t="shared" ref="U162:W162" si="857">SUM(U82:U85)</f>
        <v>3</v>
      </c>
      <c r="V162" s="265">
        <f t="shared" si="857"/>
        <v>0</v>
      </c>
      <c r="W162" s="43">
        <f t="shared" si="857"/>
        <v>0</v>
      </c>
      <c r="X162" s="42">
        <f t="shared" si="821"/>
        <v>3</v>
      </c>
      <c r="Y162" s="58">
        <f t="shared" ref="Y162:AA162" si="858">SUM(Y82:Y85)</f>
        <v>36</v>
      </c>
      <c r="Z162" s="265">
        <f t="shared" si="858"/>
        <v>0</v>
      </c>
      <c r="AA162" s="43">
        <f t="shared" si="858"/>
        <v>0</v>
      </c>
      <c r="AB162" s="42">
        <f t="shared" si="823"/>
        <v>36</v>
      </c>
      <c r="AC162" s="58">
        <f t="shared" ref="AC162:AE162" si="859">SUM(AC82:AC85)</f>
        <v>226</v>
      </c>
      <c r="AD162" s="265">
        <f t="shared" si="859"/>
        <v>4</v>
      </c>
      <c r="AE162" s="43">
        <f t="shared" si="859"/>
        <v>0</v>
      </c>
      <c r="AF162" s="42">
        <f t="shared" si="825"/>
        <v>230</v>
      </c>
      <c r="AG162" s="58">
        <f t="shared" ref="AG162:AI162" si="860">SUM(AG82:AG85)</f>
        <v>329</v>
      </c>
      <c r="AH162" s="265">
        <f t="shared" si="860"/>
        <v>4</v>
      </c>
      <c r="AI162" s="43">
        <f t="shared" si="860"/>
        <v>19</v>
      </c>
      <c r="AJ162" s="42">
        <f t="shared" si="827"/>
        <v>352</v>
      </c>
      <c r="AK162" s="58">
        <f t="shared" ref="AK162:AM162" si="861">SUM(AK82:AK85)</f>
        <v>50</v>
      </c>
      <c r="AL162" s="265">
        <f t="shared" si="861"/>
        <v>0</v>
      </c>
      <c r="AM162" s="43">
        <f t="shared" si="861"/>
        <v>0</v>
      </c>
      <c r="AN162" s="42">
        <f t="shared" si="706"/>
        <v>50</v>
      </c>
      <c r="AO162" s="58">
        <f t="shared" ref="AO162:AQ162" si="862">SUM(AO82:AO85)</f>
        <v>10</v>
      </c>
      <c r="AP162" s="265">
        <f t="shared" si="862"/>
        <v>0</v>
      </c>
      <c r="AQ162" s="43">
        <f t="shared" si="862"/>
        <v>0</v>
      </c>
      <c r="AR162" s="42">
        <f t="shared" si="830"/>
        <v>10</v>
      </c>
      <c r="AS162" s="58">
        <f t="shared" ref="AS162:AU162" si="863">SUM(AS82:AS85)</f>
        <v>40</v>
      </c>
      <c r="AT162" s="265">
        <f t="shared" si="863"/>
        <v>0</v>
      </c>
      <c r="AU162" s="43">
        <f t="shared" si="863"/>
        <v>0</v>
      </c>
      <c r="AV162" s="42">
        <f t="shared" si="710"/>
        <v>40</v>
      </c>
      <c r="AW162" s="58">
        <f t="shared" ref="AW162:AY162" si="864">SUM(AW82:AW85)</f>
        <v>29</v>
      </c>
      <c r="AX162" s="265">
        <f t="shared" si="864"/>
        <v>0</v>
      </c>
      <c r="AY162" s="43">
        <f t="shared" si="864"/>
        <v>0</v>
      </c>
      <c r="AZ162" s="42">
        <f t="shared" si="712"/>
        <v>29</v>
      </c>
      <c r="BA162" s="58">
        <f t="shared" ref="BA162:BC162" si="865">SUM(BA82:BA85)</f>
        <v>35</v>
      </c>
      <c r="BB162" s="265">
        <f t="shared" si="865"/>
        <v>0</v>
      </c>
      <c r="BC162" s="43">
        <f t="shared" si="865"/>
        <v>0</v>
      </c>
      <c r="BD162" s="42">
        <f t="shared" si="714"/>
        <v>35</v>
      </c>
      <c r="BE162" s="58">
        <f t="shared" ref="BE162:BG162" si="866">SUM(BE82:BE85)</f>
        <v>26</v>
      </c>
      <c r="BF162" s="265">
        <f t="shared" si="866"/>
        <v>0</v>
      </c>
      <c r="BG162" s="43">
        <f t="shared" si="866"/>
        <v>0</v>
      </c>
      <c r="BH162" s="42">
        <f t="shared" si="716"/>
        <v>26</v>
      </c>
      <c r="BI162" s="58">
        <f t="shared" ref="BI162:BK162" si="867">SUM(BI82:BI85)</f>
        <v>0</v>
      </c>
      <c r="BJ162" s="265">
        <f t="shared" si="867"/>
        <v>0</v>
      </c>
      <c r="BK162" s="43">
        <f t="shared" si="867"/>
        <v>0</v>
      </c>
      <c r="BL162" s="42">
        <f t="shared" si="718"/>
        <v>0</v>
      </c>
      <c r="BO162" s="55"/>
      <c r="BP162" s="55"/>
      <c r="BQ162" s="83">
        <f t="shared" si="590"/>
        <v>0.69791667416666692</v>
      </c>
    </row>
    <row r="163" spans="2:69" s="50" customFormat="1" ht="24.95" customHeight="1">
      <c r="B163" s="37">
        <f t="shared" si="734"/>
        <v>0.70833334166666695</v>
      </c>
      <c r="C163" s="38" t="s">
        <v>9</v>
      </c>
      <c r="D163" s="47">
        <f t="shared" si="811"/>
        <v>0.75000001166666697</v>
      </c>
      <c r="E163" s="58">
        <f t="shared" ref="E163" si="868">SUM(E83:E86)</f>
        <v>101</v>
      </c>
      <c r="F163" s="265">
        <f t="shared" ref="F163:G163" si="869">SUM(F83:F86)</f>
        <v>0</v>
      </c>
      <c r="G163" s="43">
        <f t="shared" si="869"/>
        <v>0</v>
      </c>
      <c r="H163" s="42">
        <f t="shared" si="814"/>
        <v>101</v>
      </c>
      <c r="I163" s="58">
        <f t="shared" ref="I163:K163" si="870">SUM(I83:I86)</f>
        <v>555</v>
      </c>
      <c r="J163" s="265">
        <f t="shared" si="870"/>
        <v>5</v>
      </c>
      <c r="K163" s="43">
        <f t="shared" si="870"/>
        <v>0</v>
      </c>
      <c r="L163" s="42">
        <f t="shared" si="816"/>
        <v>560</v>
      </c>
      <c r="M163" s="58">
        <f t="shared" ref="M163:O163" si="871">SUM(M83:M86)</f>
        <v>50</v>
      </c>
      <c r="N163" s="265">
        <f t="shared" si="871"/>
        <v>0</v>
      </c>
      <c r="O163" s="43">
        <f t="shared" si="871"/>
        <v>0</v>
      </c>
      <c r="P163" s="42">
        <f t="shared" si="818"/>
        <v>50</v>
      </c>
      <c r="Q163" s="58">
        <f t="shared" ref="Q163:S163" si="872">SUM(Q83:Q86)</f>
        <v>42</v>
      </c>
      <c r="R163" s="265">
        <f t="shared" si="872"/>
        <v>0</v>
      </c>
      <c r="S163" s="43">
        <f t="shared" si="872"/>
        <v>0</v>
      </c>
      <c r="T163" s="42">
        <f t="shared" si="696"/>
        <v>42</v>
      </c>
      <c r="U163" s="58">
        <f t="shared" ref="U163:W163" si="873">SUM(U83:U86)</f>
        <v>2</v>
      </c>
      <c r="V163" s="265">
        <f t="shared" si="873"/>
        <v>0</v>
      </c>
      <c r="W163" s="43">
        <f t="shared" si="873"/>
        <v>0</v>
      </c>
      <c r="X163" s="42">
        <f t="shared" si="821"/>
        <v>2</v>
      </c>
      <c r="Y163" s="58">
        <f t="shared" ref="Y163:AA163" si="874">SUM(Y83:Y86)</f>
        <v>33</v>
      </c>
      <c r="Z163" s="265">
        <f t="shared" si="874"/>
        <v>0</v>
      </c>
      <c r="AA163" s="43">
        <f t="shared" si="874"/>
        <v>0</v>
      </c>
      <c r="AB163" s="42">
        <f t="shared" si="823"/>
        <v>33</v>
      </c>
      <c r="AC163" s="58">
        <f t="shared" ref="AC163:AE163" si="875">SUM(AC83:AC86)</f>
        <v>214</v>
      </c>
      <c r="AD163" s="265">
        <f t="shared" si="875"/>
        <v>1</v>
      </c>
      <c r="AE163" s="43">
        <f t="shared" si="875"/>
        <v>0</v>
      </c>
      <c r="AF163" s="42">
        <f t="shared" si="825"/>
        <v>215</v>
      </c>
      <c r="AG163" s="58">
        <f t="shared" ref="AG163:AI163" si="876">SUM(AG83:AG86)</f>
        <v>326</v>
      </c>
      <c r="AH163" s="265">
        <f t="shared" si="876"/>
        <v>3</v>
      </c>
      <c r="AI163" s="43">
        <f t="shared" si="876"/>
        <v>23</v>
      </c>
      <c r="AJ163" s="42">
        <f t="shared" si="827"/>
        <v>352</v>
      </c>
      <c r="AK163" s="58">
        <f t="shared" ref="AK163:AM163" si="877">SUM(AK83:AK86)</f>
        <v>41</v>
      </c>
      <c r="AL163" s="265">
        <f t="shared" si="877"/>
        <v>0</v>
      </c>
      <c r="AM163" s="43">
        <f t="shared" si="877"/>
        <v>0</v>
      </c>
      <c r="AN163" s="42">
        <f t="shared" si="706"/>
        <v>41</v>
      </c>
      <c r="AO163" s="58">
        <f t="shared" ref="AO163:AQ163" si="878">SUM(AO83:AO86)</f>
        <v>7</v>
      </c>
      <c r="AP163" s="265">
        <f t="shared" si="878"/>
        <v>0</v>
      </c>
      <c r="AQ163" s="43">
        <f t="shared" si="878"/>
        <v>0</v>
      </c>
      <c r="AR163" s="42">
        <f t="shared" si="830"/>
        <v>7</v>
      </c>
      <c r="AS163" s="58">
        <f t="shared" ref="AS163:AU163" si="879">SUM(AS83:AS86)</f>
        <v>45</v>
      </c>
      <c r="AT163" s="265">
        <f t="shared" si="879"/>
        <v>0</v>
      </c>
      <c r="AU163" s="43">
        <f t="shared" si="879"/>
        <v>0</v>
      </c>
      <c r="AV163" s="42">
        <f t="shared" si="710"/>
        <v>45</v>
      </c>
      <c r="AW163" s="58">
        <f t="shared" ref="AW163:AY163" si="880">SUM(AW83:AW86)</f>
        <v>27</v>
      </c>
      <c r="AX163" s="265">
        <f t="shared" si="880"/>
        <v>0</v>
      </c>
      <c r="AY163" s="43">
        <f t="shared" si="880"/>
        <v>0</v>
      </c>
      <c r="AZ163" s="42">
        <f t="shared" si="712"/>
        <v>27</v>
      </c>
      <c r="BA163" s="58">
        <f t="shared" ref="BA163:BC163" si="881">SUM(BA83:BA86)</f>
        <v>31</v>
      </c>
      <c r="BB163" s="265">
        <f t="shared" si="881"/>
        <v>0</v>
      </c>
      <c r="BC163" s="43">
        <f t="shared" si="881"/>
        <v>0</v>
      </c>
      <c r="BD163" s="42">
        <f t="shared" si="714"/>
        <v>31</v>
      </c>
      <c r="BE163" s="58">
        <f t="shared" ref="BE163:BG163" si="882">SUM(BE83:BE86)</f>
        <v>29</v>
      </c>
      <c r="BF163" s="265">
        <f t="shared" si="882"/>
        <v>0</v>
      </c>
      <c r="BG163" s="43">
        <f t="shared" si="882"/>
        <v>0</v>
      </c>
      <c r="BH163" s="42">
        <f t="shared" si="716"/>
        <v>29</v>
      </c>
      <c r="BI163" s="58">
        <f t="shared" ref="BI163:BK163" si="883">SUM(BI83:BI86)</f>
        <v>0</v>
      </c>
      <c r="BJ163" s="265">
        <f t="shared" si="883"/>
        <v>0</v>
      </c>
      <c r="BK163" s="43">
        <f t="shared" si="883"/>
        <v>0</v>
      </c>
      <c r="BL163" s="42">
        <f t="shared" si="718"/>
        <v>0</v>
      </c>
      <c r="BO163" s="55"/>
      <c r="BP163" s="55"/>
      <c r="BQ163" s="83">
        <f t="shared" si="590"/>
        <v>0.70833334166666695</v>
      </c>
    </row>
    <row r="164" spans="2:69" s="50" customFormat="1" ht="24.95" customHeight="1">
      <c r="B164" s="37">
        <f t="shared" si="734"/>
        <v>0.71875000916666698</v>
      </c>
      <c r="C164" s="38" t="s">
        <v>9</v>
      </c>
      <c r="D164" s="47">
        <f t="shared" si="811"/>
        <v>0.760416679166667</v>
      </c>
      <c r="E164" s="58">
        <f t="shared" ref="E164" si="884">SUM(E84:E87)</f>
        <v>82</v>
      </c>
      <c r="F164" s="265">
        <f t="shared" ref="F164:G164" si="885">SUM(F84:F87)</f>
        <v>0</v>
      </c>
      <c r="G164" s="43">
        <f t="shared" si="885"/>
        <v>0</v>
      </c>
      <c r="H164" s="42">
        <f t="shared" si="814"/>
        <v>82</v>
      </c>
      <c r="I164" s="58">
        <f t="shared" ref="I164:K164" si="886">SUM(I84:I87)</f>
        <v>519</v>
      </c>
      <c r="J164" s="265">
        <f t="shared" si="886"/>
        <v>2</v>
      </c>
      <c r="K164" s="43">
        <f t="shared" si="886"/>
        <v>0</v>
      </c>
      <c r="L164" s="42">
        <f t="shared" si="816"/>
        <v>521</v>
      </c>
      <c r="M164" s="58">
        <f t="shared" ref="M164:O164" si="887">SUM(M84:M87)</f>
        <v>48</v>
      </c>
      <c r="N164" s="265">
        <f t="shared" si="887"/>
        <v>0</v>
      </c>
      <c r="O164" s="43">
        <f t="shared" si="887"/>
        <v>0</v>
      </c>
      <c r="P164" s="42">
        <f t="shared" si="818"/>
        <v>48</v>
      </c>
      <c r="Q164" s="58">
        <f t="shared" ref="Q164:S164" si="888">SUM(Q84:Q87)</f>
        <v>31</v>
      </c>
      <c r="R164" s="265">
        <f t="shared" si="888"/>
        <v>0</v>
      </c>
      <c r="S164" s="43">
        <f t="shared" si="888"/>
        <v>0</v>
      </c>
      <c r="T164" s="42">
        <f t="shared" si="696"/>
        <v>31</v>
      </c>
      <c r="U164" s="58">
        <f t="shared" ref="U164:W164" si="889">SUM(U84:U87)</f>
        <v>0</v>
      </c>
      <c r="V164" s="265">
        <f t="shared" si="889"/>
        <v>0</v>
      </c>
      <c r="W164" s="43">
        <f t="shared" si="889"/>
        <v>0</v>
      </c>
      <c r="X164" s="42">
        <f t="shared" si="821"/>
        <v>0</v>
      </c>
      <c r="Y164" s="58">
        <f t="shared" ref="Y164:AA164" si="890">SUM(Y84:Y87)</f>
        <v>39</v>
      </c>
      <c r="Z164" s="265">
        <f t="shared" si="890"/>
        <v>0</v>
      </c>
      <c r="AA164" s="43">
        <f t="shared" si="890"/>
        <v>0</v>
      </c>
      <c r="AB164" s="42">
        <f t="shared" si="823"/>
        <v>39</v>
      </c>
      <c r="AC164" s="58">
        <f t="shared" ref="AC164:AE164" si="891">SUM(AC84:AC87)</f>
        <v>206</v>
      </c>
      <c r="AD164" s="265">
        <f t="shared" si="891"/>
        <v>2</v>
      </c>
      <c r="AE164" s="43">
        <f t="shared" si="891"/>
        <v>0</v>
      </c>
      <c r="AF164" s="42">
        <f t="shared" si="825"/>
        <v>208</v>
      </c>
      <c r="AG164" s="58">
        <f t="shared" ref="AG164:AI164" si="892">SUM(AG84:AG87)</f>
        <v>309</v>
      </c>
      <c r="AH164" s="265">
        <f t="shared" si="892"/>
        <v>4</v>
      </c>
      <c r="AI164" s="43">
        <f t="shared" si="892"/>
        <v>23</v>
      </c>
      <c r="AJ164" s="42">
        <f t="shared" si="827"/>
        <v>336</v>
      </c>
      <c r="AK164" s="58">
        <f t="shared" ref="AK164:AM164" si="893">SUM(AK84:AK87)</f>
        <v>46</v>
      </c>
      <c r="AL164" s="265">
        <f t="shared" si="893"/>
        <v>0</v>
      </c>
      <c r="AM164" s="43">
        <f t="shared" si="893"/>
        <v>0</v>
      </c>
      <c r="AN164" s="42">
        <f t="shared" si="706"/>
        <v>46</v>
      </c>
      <c r="AO164" s="58">
        <f t="shared" ref="AO164:AQ164" si="894">SUM(AO84:AO87)</f>
        <v>9</v>
      </c>
      <c r="AP164" s="265">
        <f t="shared" si="894"/>
        <v>0</v>
      </c>
      <c r="AQ164" s="43">
        <f t="shared" si="894"/>
        <v>0</v>
      </c>
      <c r="AR164" s="42">
        <f t="shared" si="830"/>
        <v>9</v>
      </c>
      <c r="AS164" s="58">
        <f t="shared" ref="AS164:AU164" si="895">SUM(AS84:AS87)</f>
        <v>43</v>
      </c>
      <c r="AT164" s="265">
        <f t="shared" si="895"/>
        <v>0</v>
      </c>
      <c r="AU164" s="43">
        <f t="shared" si="895"/>
        <v>0</v>
      </c>
      <c r="AV164" s="42">
        <f t="shared" si="710"/>
        <v>43</v>
      </c>
      <c r="AW164" s="58">
        <f t="shared" ref="AW164:AY164" si="896">SUM(AW84:AW87)</f>
        <v>24</v>
      </c>
      <c r="AX164" s="265">
        <f t="shared" si="896"/>
        <v>0</v>
      </c>
      <c r="AY164" s="43">
        <f t="shared" si="896"/>
        <v>0</v>
      </c>
      <c r="AZ164" s="42">
        <f t="shared" si="712"/>
        <v>24</v>
      </c>
      <c r="BA164" s="58">
        <f t="shared" ref="BA164:BC164" si="897">SUM(BA84:BA87)</f>
        <v>31</v>
      </c>
      <c r="BB164" s="265">
        <f t="shared" si="897"/>
        <v>0</v>
      </c>
      <c r="BC164" s="43">
        <f t="shared" si="897"/>
        <v>0</v>
      </c>
      <c r="BD164" s="42">
        <f t="shared" si="714"/>
        <v>31</v>
      </c>
      <c r="BE164" s="58">
        <f t="shared" ref="BE164:BG164" si="898">SUM(BE84:BE87)</f>
        <v>27</v>
      </c>
      <c r="BF164" s="265">
        <f t="shared" si="898"/>
        <v>0</v>
      </c>
      <c r="BG164" s="43">
        <f t="shared" si="898"/>
        <v>0</v>
      </c>
      <c r="BH164" s="42">
        <f t="shared" si="716"/>
        <v>27</v>
      </c>
      <c r="BI164" s="58">
        <f t="shared" ref="BI164:BK164" si="899">SUM(BI84:BI87)</f>
        <v>0</v>
      </c>
      <c r="BJ164" s="265">
        <f t="shared" si="899"/>
        <v>0</v>
      </c>
      <c r="BK164" s="43">
        <f t="shared" si="899"/>
        <v>0</v>
      </c>
      <c r="BL164" s="42">
        <f t="shared" si="718"/>
        <v>0</v>
      </c>
      <c r="BO164" s="55"/>
      <c r="BP164" s="55"/>
      <c r="BQ164" s="83">
        <f t="shared" si="590"/>
        <v>0.71875000916666698</v>
      </c>
    </row>
    <row r="165" spans="2:69" s="50" customFormat="1" ht="24.95" customHeight="1" thickBot="1">
      <c r="B165" s="37">
        <f t="shared" si="734"/>
        <v>0.72916667666666701</v>
      </c>
      <c r="C165" s="38" t="s">
        <v>9</v>
      </c>
      <c r="D165" s="47">
        <f t="shared" si="811"/>
        <v>0.77083334666666703</v>
      </c>
      <c r="E165" s="58">
        <f t="shared" ref="E165" si="900">SUM(E85:E88)</f>
        <v>79</v>
      </c>
      <c r="F165" s="265">
        <f t="shared" ref="F165:G165" si="901">SUM(F85:F88)</f>
        <v>0</v>
      </c>
      <c r="G165" s="43">
        <f t="shared" si="901"/>
        <v>0</v>
      </c>
      <c r="H165" s="42">
        <f t="shared" si="814"/>
        <v>79</v>
      </c>
      <c r="I165" s="58">
        <f t="shared" ref="I165:K165" si="902">SUM(I85:I88)</f>
        <v>525</v>
      </c>
      <c r="J165" s="265">
        <f t="shared" si="902"/>
        <v>3</v>
      </c>
      <c r="K165" s="43">
        <f t="shared" si="902"/>
        <v>0</v>
      </c>
      <c r="L165" s="42">
        <f t="shared" si="816"/>
        <v>528</v>
      </c>
      <c r="M165" s="58">
        <f t="shared" ref="M165:O165" si="903">SUM(M85:M88)</f>
        <v>38</v>
      </c>
      <c r="N165" s="265">
        <f t="shared" si="903"/>
        <v>0</v>
      </c>
      <c r="O165" s="43">
        <f t="shared" si="903"/>
        <v>0</v>
      </c>
      <c r="P165" s="42">
        <f t="shared" si="818"/>
        <v>38</v>
      </c>
      <c r="Q165" s="58">
        <f t="shared" ref="Q165:S165" si="904">SUM(Q85:Q88)</f>
        <v>37</v>
      </c>
      <c r="R165" s="265">
        <f t="shared" si="904"/>
        <v>0</v>
      </c>
      <c r="S165" s="43">
        <f t="shared" si="904"/>
        <v>0</v>
      </c>
      <c r="T165" s="42">
        <f t="shared" si="696"/>
        <v>37</v>
      </c>
      <c r="U165" s="58">
        <f t="shared" ref="U165:W165" si="905">SUM(U85:U88)</f>
        <v>2</v>
      </c>
      <c r="V165" s="265">
        <f t="shared" si="905"/>
        <v>0</v>
      </c>
      <c r="W165" s="43">
        <f t="shared" si="905"/>
        <v>0</v>
      </c>
      <c r="X165" s="42">
        <f t="shared" si="821"/>
        <v>2</v>
      </c>
      <c r="Y165" s="58">
        <f t="shared" ref="Y165:AA165" si="906">SUM(Y85:Y88)</f>
        <v>39</v>
      </c>
      <c r="Z165" s="265">
        <f t="shared" si="906"/>
        <v>0</v>
      </c>
      <c r="AA165" s="43">
        <f t="shared" si="906"/>
        <v>0</v>
      </c>
      <c r="AB165" s="42">
        <f t="shared" si="823"/>
        <v>39</v>
      </c>
      <c r="AC165" s="58">
        <f t="shared" ref="AC165:AE165" si="907">SUM(AC85:AC88)</f>
        <v>189</v>
      </c>
      <c r="AD165" s="265">
        <f t="shared" si="907"/>
        <v>2</v>
      </c>
      <c r="AE165" s="43">
        <f t="shared" si="907"/>
        <v>0</v>
      </c>
      <c r="AF165" s="42">
        <f t="shared" si="825"/>
        <v>191</v>
      </c>
      <c r="AG165" s="58">
        <f t="shared" ref="AG165:AI165" si="908">SUM(AG85:AG88)</f>
        <v>270</v>
      </c>
      <c r="AH165" s="265">
        <f t="shared" si="908"/>
        <v>3</v>
      </c>
      <c r="AI165" s="43">
        <f t="shared" si="908"/>
        <v>24</v>
      </c>
      <c r="AJ165" s="42">
        <f t="shared" si="827"/>
        <v>297</v>
      </c>
      <c r="AK165" s="58">
        <f t="shared" ref="AK165:AM165" si="909">SUM(AK85:AK88)</f>
        <v>43</v>
      </c>
      <c r="AL165" s="265">
        <f t="shared" si="909"/>
        <v>0</v>
      </c>
      <c r="AM165" s="43">
        <f t="shared" si="909"/>
        <v>0</v>
      </c>
      <c r="AN165" s="42">
        <f t="shared" si="706"/>
        <v>43</v>
      </c>
      <c r="AO165" s="58">
        <f t="shared" ref="AO165:AQ165" si="910">SUM(AO85:AO88)</f>
        <v>11</v>
      </c>
      <c r="AP165" s="265">
        <f t="shared" si="910"/>
        <v>0</v>
      </c>
      <c r="AQ165" s="43">
        <f t="shared" si="910"/>
        <v>0</v>
      </c>
      <c r="AR165" s="42">
        <f t="shared" si="830"/>
        <v>11</v>
      </c>
      <c r="AS165" s="58">
        <f t="shared" ref="AS165:AU165" si="911">SUM(AS85:AS88)</f>
        <v>46</v>
      </c>
      <c r="AT165" s="265">
        <f t="shared" si="911"/>
        <v>0</v>
      </c>
      <c r="AU165" s="43">
        <f t="shared" si="911"/>
        <v>0</v>
      </c>
      <c r="AV165" s="42">
        <f t="shared" si="710"/>
        <v>46</v>
      </c>
      <c r="AW165" s="58">
        <f t="shared" ref="AW165:AY165" si="912">SUM(AW85:AW88)</f>
        <v>23</v>
      </c>
      <c r="AX165" s="265">
        <f t="shared" si="912"/>
        <v>0</v>
      </c>
      <c r="AY165" s="43">
        <f t="shared" si="912"/>
        <v>0</v>
      </c>
      <c r="AZ165" s="42">
        <f t="shared" si="712"/>
        <v>23</v>
      </c>
      <c r="BA165" s="58">
        <f t="shared" ref="BA165:BC165" si="913">SUM(BA85:BA88)</f>
        <v>27</v>
      </c>
      <c r="BB165" s="265">
        <f t="shared" si="913"/>
        <v>0</v>
      </c>
      <c r="BC165" s="43">
        <f t="shared" si="913"/>
        <v>0</v>
      </c>
      <c r="BD165" s="42">
        <f t="shared" si="714"/>
        <v>27</v>
      </c>
      <c r="BE165" s="58">
        <f t="shared" ref="BE165:BG165" si="914">SUM(BE85:BE88)</f>
        <v>29</v>
      </c>
      <c r="BF165" s="265">
        <f t="shared" si="914"/>
        <v>0</v>
      </c>
      <c r="BG165" s="43">
        <f t="shared" si="914"/>
        <v>0</v>
      </c>
      <c r="BH165" s="42">
        <f t="shared" si="716"/>
        <v>29</v>
      </c>
      <c r="BI165" s="58">
        <f t="shared" ref="BI165:BK165" si="915">SUM(BI85:BI88)</f>
        <v>0</v>
      </c>
      <c r="BJ165" s="265">
        <f t="shared" si="915"/>
        <v>0</v>
      </c>
      <c r="BK165" s="43">
        <f t="shared" si="915"/>
        <v>0</v>
      </c>
      <c r="BL165" s="42">
        <f t="shared" si="718"/>
        <v>0</v>
      </c>
      <c r="BO165" s="55"/>
      <c r="BP165" s="55"/>
      <c r="BQ165" s="83">
        <f t="shared" si="590"/>
        <v>0.72916667666666701</v>
      </c>
    </row>
    <row r="166" spans="2:69" s="50" customFormat="1" ht="30" customHeight="1" thickBot="1">
      <c r="B166" s="369" t="str">
        <f>B51</f>
        <v>PM Totals</v>
      </c>
      <c r="C166" s="370"/>
      <c r="D166" s="371"/>
      <c r="E166" s="44">
        <f t="shared" ref="E166:AR166" si="916">E89</f>
        <v>311</v>
      </c>
      <c r="F166" s="263">
        <f t="shared" ref="F166:G166" si="917">F89</f>
        <v>1</v>
      </c>
      <c r="G166" s="45">
        <f t="shared" si="917"/>
        <v>0</v>
      </c>
      <c r="H166" s="44">
        <f t="shared" si="916"/>
        <v>312</v>
      </c>
      <c r="I166" s="44">
        <f t="shared" ref="I166:K166" si="918">I89</f>
        <v>2054</v>
      </c>
      <c r="J166" s="263">
        <f t="shared" si="918"/>
        <v>16</v>
      </c>
      <c r="K166" s="45">
        <f t="shared" si="918"/>
        <v>1</v>
      </c>
      <c r="L166" s="44">
        <f t="shared" si="916"/>
        <v>2071</v>
      </c>
      <c r="M166" s="44">
        <f t="shared" ref="M166:O166" si="919">M89</f>
        <v>121</v>
      </c>
      <c r="N166" s="263">
        <f t="shared" si="919"/>
        <v>2</v>
      </c>
      <c r="O166" s="45">
        <f t="shared" si="919"/>
        <v>0</v>
      </c>
      <c r="P166" s="44">
        <f t="shared" si="916"/>
        <v>123</v>
      </c>
      <c r="Q166" s="44">
        <f t="shared" ref="Q166:S166" si="920">Q89</f>
        <v>155</v>
      </c>
      <c r="R166" s="263">
        <f t="shared" si="920"/>
        <v>1</v>
      </c>
      <c r="S166" s="45">
        <f t="shared" si="920"/>
        <v>0</v>
      </c>
      <c r="T166" s="44">
        <f t="shared" ref="T166:W166" si="921">T89</f>
        <v>156</v>
      </c>
      <c r="U166" s="44">
        <f t="shared" si="921"/>
        <v>10</v>
      </c>
      <c r="V166" s="263">
        <f t="shared" si="921"/>
        <v>0</v>
      </c>
      <c r="W166" s="45">
        <f t="shared" si="921"/>
        <v>0</v>
      </c>
      <c r="X166" s="44">
        <f t="shared" si="916"/>
        <v>10</v>
      </c>
      <c r="Y166" s="44">
        <f t="shared" ref="Y166:AA166" si="922">Y89</f>
        <v>148</v>
      </c>
      <c r="Z166" s="263">
        <f t="shared" si="922"/>
        <v>1</v>
      </c>
      <c r="AA166" s="45">
        <f t="shared" si="922"/>
        <v>0</v>
      </c>
      <c r="AB166" s="46">
        <f t="shared" si="916"/>
        <v>149</v>
      </c>
      <c r="AC166" s="86">
        <f t="shared" ref="AC166:AE166" si="923">AC89</f>
        <v>890</v>
      </c>
      <c r="AD166" s="263">
        <f t="shared" si="923"/>
        <v>13</v>
      </c>
      <c r="AE166" s="45">
        <f t="shared" si="923"/>
        <v>0</v>
      </c>
      <c r="AF166" s="44">
        <f t="shared" si="916"/>
        <v>903</v>
      </c>
      <c r="AG166" s="44">
        <f t="shared" ref="AG166:AI166" si="924">AG89</f>
        <v>1214</v>
      </c>
      <c r="AH166" s="263">
        <f t="shared" si="924"/>
        <v>19</v>
      </c>
      <c r="AI166" s="45">
        <f t="shared" si="924"/>
        <v>83</v>
      </c>
      <c r="AJ166" s="44">
        <f t="shared" si="916"/>
        <v>1316</v>
      </c>
      <c r="AK166" s="44">
        <f t="shared" ref="AK166:AM166" si="925">AK89</f>
        <v>163</v>
      </c>
      <c r="AL166" s="263">
        <f t="shared" si="925"/>
        <v>0</v>
      </c>
      <c r="AM166" s="45">
        <f t="shared" si="925"/>
        <v>0</v>
      </c>
      <c r="AN166" s="46">
        <f t="shared" ref="AN166:AQ166" si="926">AN89</f>
        <v>163</v>
      </c>
      <c r="AO166" s="44">
        <f t="shared" si="926"/>
        <v>42</v>
      </c>
      <c r="AP166" s="263">
        <f t="shared" si="926"/>
        <v>0</v>
      </c>
      <c r="AQ166" s="45">
        <f t="shared" si="926"/>
        <v>0</v>
      </c>
      <c r="AR166" s="46">
        <f t="shared" si="916"/>
        <v>42</v>
      </c>
      <c r="AS166" s="44">
        <f t="shared" ref="AS166:AU166" si="927">AS89</f>
        <v>139</v>
      </c>
      <c r="AT166" s="263">
        <f t="shared" si="927"/>
        <v>0</v>
      </c>
      <c r="AU166" s="45">
        <f t="shared" si="927"/>
        <v>0</v>
      </c>
      <c r="AV166" s="46">
        <f>AV89</f>
        <v>139</v>
      </c>
      <c r="AW166" s="86">
        <f t="shared" ref="AW166:AY166" si="928">AW89</f>
        <v>80</v>
      </c>
      <c r="AX166" s="263">
        <f t="shared" si="928"/>
        <v>0</v>
      </c>
      <c r="AY166" s="45">
        <f t="shared" si="928"/>
        <v>0</v>
      </c>
      <c r="AZ166" s="44">
        <f>AZ89</f>
        <v>80</v>
      </c>
      <c r="BA166" s="44">
        <f t="shared" ref="BA166:BC166" si="929">BA89</f>
        <v>107</v>
      </c>
      <c r="BB166" s="263">
        <f t="shared" si="929"/>
        <v>0</v>
      </c>
      <c r="BC166" s="45">
        <f t="shared" si="929"/>
        <v>0</v>
      </c>
      <c r="BD166" s="44">
        <f>BD89</f>
        <v>107</v>
      </c>
      <c r="BE166" s="44">
        <f t="shared" ref="BE166:BG166" si="930">BE89</f>
        <v>109</v>
      </c>
      <c r="BF166" s="263">
        <f t="shared" si="930"/>
        <v>1</v>
      </c>
      <c r="BG166" s="45">
        <f t="shared" si="930"/>
        <v>0</v>
      </c>
      <c r="BH166" s="46">
        <f>BH89</f>
        <v>110</v>
      </c>
      <c r="BI166" s="44">
        <f t="shared" ref="BI166:BK166" si="931">BI89</f>
        <v>1</v>
      </c>
      <c r="BJ166" s="263">
        <f t="shared" si="931"/>
        <v>0</v>
      </c>
      <c r="BK166" s="45">
        <f t="shared" si="931"/>
        <v>0</v>
      </c>
      <c r="BL166" s="46">
        <f>BL89</f>
        <v>1</v>
      </c>
      <c r="BO166" s="55"/>
      <c r="BP166" s="55"/>
      <c r="BQ166" s="83" t="str">
        <f t="shared" si="590"/>
        <v>PM Totals</v>
      </c>
    </row>
    <row r="167" spans="2:69" s="50" customFormat="1" ht="24.9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O167" s="1"/>
      <c r="AP167" s="1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87"/>
    </row>
    <row r="168" spans="2:69" s="50" customFormat="1" ht="24.9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O168" s="1"/>
      <c r="AP168" s="1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87"/>
    </row>
    <row r="169" spans="2:69" s="50" customFormat="1" ht="24.9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O169" s="1"/>
      <c r="AP169" s="1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87"/>
    </row>
    <row r="170" spans="2:69" s="50" customFormat="1" ht="24.9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</row>
    <row r="171" spans="2:69" s="50" customFormat="1" ht="24.9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</row>
    <row r="172" spans="2:69" s="50" customFormat="1" ht="24.9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</row>
    <row r="173" spans="2:69" s="50" customFormat="1" ht="24.9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</row>
    <row r="174" spans="2:69" s="50" customFormat="1" ht="24.9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</row>
    <row r="175" spans="2:69" s="50" customFormat="1" ht="24.9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</row>
  </sheetData>
  <mergeCells count="97">
    <mergeCell ref="U105:X105"/>
    <mergeCell ref="Y104:AR104"/>
    <mergeCell ref="AG105:AJ105"/>
    <mergeCell ref="AO105:AR105"/>
    <mergeCell ref="AA93:AA98"/>
    <mergeCell ref="AC105:AF105"/>
    <mergeCell ref="AK105:AN105"/>
    <mergeCell ref="Y105:AB105"/>
    <mergeCell ref="Y136:AR136"/>
    <mergeCell ref="Y137:AB137"/>
    <mergeCell ref="B166:D166"/>
    <mergeCell ref="B137:D137"/>
    <mergeCell ref="E137:H137"/>
    <mergeCell ref="AC137:AF137"/>
    <mergeCell ref="AG137:AJ137"/>
    <mergeCell ref="Q137:T137"/>
    <mergeCell ref="AK137:AN137"/>
    <mergeCell ref="AO137:AR137"/>
    <mergeCell ref="I137:L137"/>
    <mergeCell ref="M137:P137"/>
    <mergeCell ref="U137:X137"/>
    <mergeCell ref="E136:X136"/>
    <mergeCell ref="B105:D105"/>
    <mergeCell ref="B138:D138"/>
    <mergeCell ref="B152:D152"/>
    <mergeCell ref="B136:D136"/>
    <mergeCell ref="B106:D106"/>
    <mergeCell ref="B120:D120"/>
    <mergeCell ref="B134:D134"/>
    <mergeCell ref="B104:D104"/>
    <mergeCell ref="E104:X104"/>
    <mergeCell ref="B13:D13"/>
    <mergeCell ref="E13:F13"/>
    <mergeCell ref="G13:H13"/>
    <mergeCell ref="U16:X16"/>
    <mergeCell ref="B89:D89"/>
    <mergeCell ref="B15:D15"/>
    <mergeCell ref="B16:D16"/>
    <mergeCell ref="B17:D17"/>
    <mergeCell ref="B34:D34"/>
    <mergeCell ref="B51:D51"/>
    <mergeCell ref="B53:D53"/>
    <mergeCell ref="B54:D54"/>
    <mergeCell ref="B55:D55"/>
    <mergeCell ref="B72:D72"/>
    <mergeCell ref="U92:Y92"/>
    <mergeCell ref="S93:S98"/>
    <mergeCell ref="S102:V102"/>
    <mergeCell ref="X102:AA102"/>
    <mergeCell ref="E12:F12"/>
    <mergeCell ref="G12:H12"/>
    <mergeCell ref="I16:L16"/>
    <mergeCell ref="Q16:T16"/>
    <mergeCell ref="Q54:T54"/>
    <mergeCell ref="X12:AA12"/>
    <mergeCell ref="I12:J12"/>
    <mergeCell ref="I13:J13"/>
    <mergeCell ref="U54:X54"/>
    <mergeCell ref="M16:P16"/>
    <mergeCell ref="E53:X53"/>
    <mergeCell ref="E16:H16"/>
    <mergeCell ref="Q105:T105"/>
    <mergeCell ref="E54:H54"/>
    <mergeCell ref="I105:L105"/>
    <mergeCell ref="M105:P105"/>
    <mergeCell ref="E105:H105"/>
    <mergeCell ref="I54:L54"/>
    <mergeCell ref="M54:P54"/>
    <mergeCell ref="S3:S8"/>
    <mergeCell ref="AA3:AA8"/>
    <mergeCell ref="U2:Y2"/>
    <mergeCell ref="S12:V12"/>
    <mergeCell ref="Y15:AR15"/>
    <mergeCell ref="E15:X15"/>
    <mergeCell ref="AG16:AJ16"/>
    <mergeCell ref="Y54:AB54"/>
    <mergeCell ref="AC54:AF54"/>
    <mergeCell ref="AO16:AR16"/>
    <mergeCell ref="Y16:AB16"/>
    <mergeCell ref="AC16:AF16"/>
    <mergeCell ref="AK16:AN16"/>
    <mergeCell ref="Y53:AR53"/>
    <mergeCell ref="AG54:AJ54"/>
    <mergeCell ref="AO54:AR54"/>
    <mergeCell ref="AK54:AN54"/>
    <mergeCell ref="AS53:BL53"/>
    <mergeCell ref="AS54:AV54"/>
    <mergeCell ref="AW54:AZ54"/>
    <mergeCell ref="BA54:BD54"/>
    <mergeCell ref="BE54:BH54"/>
    <mergeCell ref="BI54:BL54"/>
    <mergeCell ref="AS136:BL136"/>
    <mergeCell ref="AS137:AV137"/>
    <mergeCell ref="AW137:AZ137"/>
    <mergeCell ref="BA137:BD137"/>
    <mergeCell ref="BE137:BH137"/>
    <mergeCell ref="BI137:BL137"/>
  </mergeCells>
  <phoneticPr fontId="1" type="noConversion"/>
  <pageMargins left="0.59055118110236227" right="0.47244094488188981" top="0.98425196850393704" bottom="0.98425196850393704" header="0.51181102362204722" footer="0.51181102362204722"/>
  <pageSetup paperSize="9" scale="57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R48"/>
  <sheetViews>
    <sheetView zoomScale="70" zoomScaleNormal="70" workbookViewId="0"/>
  </sheetViews>
  <sheetFormatPr defaultColWidth="5.625" defaultRowHeight="24.95" customHeight="1"/>
  <cols>
    <col min="1" max="4" width="5.625" style="1" customWidth="1"/>
    <col min="5" max="24" width="7.625" style="1" customWidth="1"/>
    <col min="25" max="25" width="8.5" style="1" customWidth="1"/>
    <col min="26" max="31" width="5.625" style="1" customWidth="1"/>
    <col min="32" max="32" width="7.625" style="25" hidden="1" customWidth="1"/>
    <col min="33" max="33" width="7.625" style="96" hidden="1" customWidth="1"/>
    <col min="34" max="54" width="7.625" style="1" hidden="1" customWidth="1"/>
    <col min="55" max="55" width="5.625" style="1" hidden="1" customWidth="1"/>
    <col min="56" max="56" width="7.75" style="1" hidden="1" customWidth="1"/>
    <col min="57" max="57" width="7.375" style="1" customWidth="1"/>
    <col min="58" max="68" width="5.625" style="1" customWidth="1"/>
    <col min="69" max="69" width="6" style="1" customWidth="1"/>
    <col min="70" max="76" width="5.625" style="1" customWidth="1"/>
    <col min="77" max="77" width="7.25" style="1" customWidth="1"/>
    <col min="78" max="98" width="5.625" style="1" customWidth="1"/>
    <col min="99" max="16384" width="5.625" style="1"/>
  </cols>
  <sheetData>
    <row r="1" spans="1:64" ht="24.95" customHeight="1">
      <c r="N1" s="2"/>
      <c r="O1" s="2"/>
      <c r="P1" s="2"/>
      <c r="Q1" s="2"/>
      <c r="R1" s="2"/>
      <c r="S1" s="2"/>
      <c r="T1" s="2"/>
      <c r="U1" s="2"/>
      <c r="AF1" s="1"/>
      <c r="AG1" s="1"/>
    </row>
    <row r="2" spans="1:64" ht="30" customHeight="1">
      <c r="O2" s="351" t="str">
        <f>'Raw data &amp; Hourly Summary'!$U$2</f>
        <v>Great N Rd</v>
      </c>
      <c r="P2" s="351"/>
      <c r="Q2" s="351"/>
      <c r="R2" s="351"/>
      <c r="S2" s="351"/>
      <c r="X2" s="2"/>
      <c r="Y2" s="2"/>
      <c r="Z2" s="2"/>
      <c r="AF2" s="1"/>
      <c r="AG2" s="1"/>
    </row>
    <row r="3" spans="1:64" ht="24.95" customHeight="1">
      <c r="B3" s="3" t="s">
        <v>0</v>
      </c>
      <c r="E3" s="4" t="str">
        <f>'Raw data &amp; Hourly Summary'!E3</f>
        <v>: NZNth13356</v>
      </c>
      <c r="F3" s="4"/>
      <c r="M3" s="352" t="str">
        <f>'Raw data &amp; Hourly Summary'!$S$3</f>
        <v>Wingate St</v>
      </c>
      <c r="N3" s="7"/>
      <c r="O3" s="8"/>
      <c r="P3" s="282"/>
      <c r="Q3" s="10"/>
      <c r="R3" s="281"/>
      <c r="S3" s="8"/>
      <c r="T3" s="12"/>
      <c r="U3" s="380" t="str">
        <f>'Raw data &amp; Hourly Summary'!$AA$3</f>
        <v>St Jude St</v>
      </c>
      <c r="V3" s="8"/>
      <c r="W3" s="2"/>
      <c r="X3" s="2"/>
      <c r="Y3" s="2"/>
      <c r="Z3" s="2"/>
      <c r="AA3" s="2"/>
      <c r="AF3" s="1"/>
      <c r="AG3" s="1"/>
    </row>
    <row r="4" spans="1:64" ht="24.95" customHeight="1">
      <c r="B4" s="3" t="s">
        <v>1</v>
      </c>
      <c r="E4" s="4" t="str">
        <f>'Raw data &amp; Hourly Summary'!E4</f>
        <v>: Auckland Transport</v>
      </c>
      <c r="F4" s="4"/>
      <c r="M4" s="352"/>
      <c r="N4" s="13"/>
      <c r="O4" s="280"/>
      <c r="P4" s="9"/>
      <c r="Q4" s="2"/>
      <c r="R4" s="11"/>
      <c r="S4" s="280"/>
      <c r="T4" s="14"/>
      <c r="U4" s="380"/>
      <c r="V4" s="2"/>
      <c r="W4" s="2"/>
      <c r="X4" s="2"/>
      <c r="Y4" s="2"/>
      <c r="Z4" s="2"/>
      <c r="AA4" s="2"/>
      <c r="AF4" s="1"/>
      <c r="AG4" s="1"/>
    </row>
    <row r="5" spans="1:64" ht="24.95" customHeight="1">
      <c r="B5" s="3" t="s">
        <v>2</v>
      </c>
      <c r="E5" s="4" t="str">
        <f>'Raw data &amp; Hourly Summary'!E5</f>
        <v>: Preston Road Surveys</v>
      </c>
      <c r="F5" s="4"/>
      <c r="M5" s="352"/>
      <c r="N5" s="15"/>
      <c r="O5" s="16"/>
      <c r="P5" s="9"/>
      <c r="Q5" s="2"/>
      <c r="R5" s="11"/>
      <c r="S5" s="8"/>
      <c r="T5" s="10"/>
      <c r="U5" s="380"/>
      <c r="V5" s="2"/>
      <c r="W5" s="2"/>
      <c r="X5" s="2"/>
      <c r="Y5" s="2"/>
      <c r="Z5" s="2"/>
      <c r="AA5" s="2"/>
      <c r="AF5" s="1"/>
      <c r="AG5" s="1"/>
    </row>
    <row r="6" spans="1:64" ht="24.95" customHeight="1">
      <c r="B6" s="3" t="s">
        <v>3</v>
      </c>
      <c r="E6" s="4" t="str">
        <f>'Raw data &amp; Hourly Summary'!E6</f>
        <v>: 2. Great N Rd / St Georges Rd / St Jude St / Wingate St</v>
      </c>
      <c r="F6" s="4"/>
      <c r="M6" s="352"/>
      <c r="N6" s="17"/>
      <c r="O6" s="16"/>
      <c r="P6" s="8"/>
      <c r="Q6" s="8"/>
      <c r="R6" s="8"/>
      <c r="S6" s="8"/>
      <c r="T6" s="10"/>
      <c r="U6" s="380"/>
      <c r="V6" s="2"/>
      <c r="W6" s="2"/>
      <c r="AA6" s="2"/>
      <c r="AF6" s="1"/>
      <c r="AG6" s="1"/>
    </row>
    <row r="7" spans="1:64" ht="24.95" customHeight="1">
      <c r="B7" s="4"/>
      <c r="E7" s="4"/>
      <c r="F7" s="4"/>
      <c r="M7" s="352"/>
      <c r="O7" s="16"/>
      <c r="P7" s="8"/>
      <c r="Q7" s="8"/>
      <c r="R7" s="8"/>
      <c r="S7" s="8"/>
      <c r="T7" s="14"/>
      <c r="U7" s="380"/>
      <c r="V7" s="2"/>
      <c r="W7" s="2"/>
      <c r="AA7" s="2"/>
      <c r="AF7" s="1"/>
      <c r="AG7" s="1"/>
    </row>
    <row r="8" spans="1:64" ht="24.95" customHeight="1">
      <c r="B8" s="3" t="s">
        <v>12</v>
      </c>
      <c r="E8" s="4" t="str">
        <f>'Raw data &amp; Hourly Summary'!E8</f>
        <v>: Wed, 3 September 2025</v>
      </c>
      <c r="F8" s="4"/>
      <c r="M8" s="352"/>
      <c r="N8" s="277"/>
      <c r="O8" s="16"/>
      <c r="P8" s="8"/>
      <c r="Q8" s="8"/>
      <c r="R8" s="8"/>
      <c r="S8" s="8"/>
      <c r="T8" s="278"/>
      <c r="U8" s="380"/>
      <c r="V8" s="2"/>
      <c r="W8" s="2"/>
      <c r="AA8" s="2"/>
      <c r="AF8" s="1"/>
      <c r="AG8" s="1"/>
    </row>
    <row r="9" spans="1:64" ht="24.95" customHeight="1">
      <c r="B9" s="3" t="s">
        <v>13</v>
      </c>
      <c r="E9" s="4" t="str">
        <f>'Raw data &amp; Hourly Summary'!E9</f>
        <v>: Fine</v>
      </c>
      <c r="F9" s="4"/>
      <c r="N9" s="276"/>
      <c r="O9" s="16"/>
      <c r="P9" s="8"/>
      <c r="Q9" s="8"/>
      <c r="R9" s="8"/>
      <c r="S9" s="8"/>
      <c r="T9" s="279"/>
      <c r="V9" s="2"/>
      <c r="W9" s="2"/>
      <c r="AA9" s="2"/>
      <c r="AF9" s="1"/>
      <c r="AG9" s="1"/>
    </row>
    <row r="10" spans="1:64" ht="24.95" customHeight="1">
      <c r="B10" s="3" t="s">
        <v>4</v>
      </c>
      <c r="E10" s="4" t="str">
        <f>'Raw data &amp; Hourly Summary'!E10</f>
        <v>: Classified Intersection Count</v>
      </c>
      <c r="F10" s="4"/>
      <c r="O10" s="18"/>
      <c r="P10" s="8"/>
      <c r="Q10" s="8"/>
      <c r="R10" s="8"/>
      <c r="S10" s="18"/>
      <c r="T10" s="19"/>
      <c r="V10" s="8"/>
      <c r="W10" s="2"/>
      <c r="AA10" s="2"/>
      <c r="AF10" s="1"/>
      <c r="AG10" s="1"/>
    </row>
    <row r="11" spans="1:64" ht="30" customHeight="1">
      <c r="E11" s="20" t="s">
        <v>24</v>
      </c>
      <c r="F11" s="20"/>
      <c r="G11" s="21"/>
      <c r="H11" s="21"/>
      <c r="O11" s="22"/>
      <c r="Q11" s="277"/>
      <c r="R11" s="23"/>
      <c r="T11" s="2"/>
      <c r="V11" s="8"/>
      <c r="W11" s="2"/>
      <c r="AA11" s="2"/>
      <c r="AF11" s="1"/>
      <c r="AG11" s="1"/>
    </row>
    <row r="12" spans="1:64" ht="30" customHeight="1">
      <c r="M12" s="353" t="str">
        <f>'Raw data &amp; Hourly Summary'!$S$12</f>
        <v>Great N Rd</v>
      </c>
      <c r="N12" s="353"/>
      <c r="O12" s="353"/>
      <c r="P12" s="353"/>
      <c r="R12" s="354" t="str">
        <f>'Raw data &amp; Hourly Summary'!$X$12</f>
        <v>St Georges Rd</v>
      </c>
      <c r="S12" s="354"/>
      <c r="T12" s="354"/>
      <c r="U12" s="354"/>
      <c r="V12" s="8"/>
      <c r="W12" s="2"/>
      <c r="X12" s="2"/>
      <c r="Y12" s="2"/>
      <c r="Z12" s="2"/>
      <c r="AA12" s="2"/>
      <c r="AF12" s="1"/>
      <c r="AG12" s="1"/>
    </row>
    <row r="13" spans="1:64" ht="24.95" customHeight="1" thickBot="1"/>
    <row r="14" spans="1:64" s="50" customFormat="1" ht="33.75" customHeight="1" thickBot="1">
      <c r="B14" s="381" t="s">
        <v>5</v>
      </c>
      <c r="C14" s="382"/>
      <c r="D14" s="383"/>
      <c r="E14" s="384" t="str">
        <f>M12</f>
        <v>Great N Rd</v>
      </c>
      <c r="F14" s="385"/>
      <c r="G14" s="385"/>
      <c r="H14" s="386"/>
      <c r="I14" s="387" t="str">
        <f>R12</f>
        <v>St Georges Rd</v>
      </c>
      <c r="J14" s="388"/>
      <c r="K14" s="388"/>
      <c r="L14" s="389"/>
      <c r="M14" s="390" t="str">
        <f>U3</f>
        <v>St Jude St</v>
      </c>
      <c r="N14" s="391"/>
      <c r="O14" s="391"/>
      <c r="P14" s="392"/>
      <c r="Q14" s="396" t="str">
        <f>O2</f>
        <v>Great N Rd</v>
      </c>
      <c r="R14" s="397"/>
      <c r="S14" s="397"/>
      <c r="T14" s="398"/>
      <c r="U14" s="393" t="str">
        <f>M3</f>
        <v>Wingate St</v>
      </c>
      <c r="V14" s="394"/>
      <c r="W14" s="394"/>
      <c r="X14" s="395"/>
      <c r="Y14" s="399" t="s">
        <v>25</v>
      </c>
      <c r="Z14" s="97"/>
      <c r="AC14" s="54"/>
      <c r="AD14" s="54"/>
      <c r="AE14" s="54"/>
      <c r="BC14" s="54"/>
    </row>
    <row r="15" spans="1:64" s="56" customFormat="1" ht="49.5" thickBot="1">
      <c r="B15" s="402" t="s">
        <v>7</v>
      </c>
      <c r="C15" s="403"/>
      <c r="D15" s="404"/>
      <c r="E15" s="26" t="str">
        <f>'Raw data &amp; Hourly Summary'!$E$13</f>
        <v>Lights</v>
      </c>
      <c r="F15" s="270" t="str">
        <f>'Raw data &amp; Hourly Summary'!$G$13</f>
        <v>Heavies</v>
      </c>
      <c r="G15" s="27" t="str">
        <f>'Raw data &amp; Hourly Summary'!$I$13</f>
        <v>Buses</v>
      </c>
      <c r="H15" s="48" t="s">
        <v>8</v>
      </c>
      <c r="I15" s="26" t="str">
        <f>'Raw data &amp; Hourly Summary'!$E$13</f>
        <v>Lights</v>
      </c>
      <c r="J15" s="270" t="str">
        <f>'Raw data &amp; Hourly Summary'!$G$13</f>
        <v>Heavies</v>
      </c>
      <c r="K15" s="27" t="str">
        <f>'Raw data &amp; Hourly Summary'!$I$13</f>
        <v>Buses</v>
      </c>
      <c r="L15" s="48" t="s">
        <v>8</v>
      </c>
      <c r="M15" s="26" t="str">
        <f>'Raw data &amp; Hourly Summary'!$E$13</f>
        <v>Lights</v>
      </c>
      <c r="N15" s="270" t="str">
        <f>'Raw data &amp; Hourly Summary'!$G$13</f>
        <v>Heavies</v>
      </c>
      <c r="O15" s="27" t="str">
        <f>'Raw data &amp; Hourly Summary'!$I$13</f>
        <v>Buses</v>
      </c>
      <c r="P15" s="48" t="s">
        <v>8</v>
      </c>
      <c r="Q15" s="26" t="str">
        <f>'Raw data &amp; Hourly Summary'!$E$13</f>
        <v>Lights</v>
      </c>
      <c r="R15" s="270" t="str">
        <f>'Raw data &amp; Hourly Summary'!$G$13</f>
        <v>Heavies</v>
      </c>
      <c r="S15" s="27" t="str">
        <f>'Raw data &amp; Hourly Summary'!$I$13</f>
        <v>Buses</v>
      </c>
      <c r="T15" s="48" t="s">
        <v>8</v>
      </c>
      <c r="U15" s="26" t="str">
        <f>'Raw data &amp; Hourly Summary'!$E$13</f>
        <v>Lights</v>
      </c>
      <c r="V15" s="270" t="str">
        <f>'Raw data &amp; Hourly Summary'!$G$13</f>
        <v>Heavies</v>
      </c>
      <c r="W15" s="27" t="str">
        <f>'Raw data &amp; Hourly Summary'!$I$13</f>
        <v>Buses</v>
      </c>
      <c r="X15" s="48" t="s">
        <v>8</v>
      </c>
      <c r="Y15" s="400"/>
      <c r="Z15" s="98"/>
      <c r="AC15" s="99"/>
      <c r="AD15" s="99"/>
      <c r="AE15" s="99"/>
      <c r="BC15" s="99"/>
      <c r="BD15" s="57"/>
    </row>
    <row r="16" spans="1:64" s="50" customFormat="1" ht="24.95" customHeight="1">
      <c r="A16" s="84" t="s">
        <v>23</v>
      </c>
      <c r="B16" s="100">
        <f>AG18</f>
        <v>0.34375000749999979</v>
      </c>
      <c r="C16" s="101" t="s">
        <v>9</v>
      </c>
      <c r="D16" s="102">
        <f>SUM(0.04166667)+B16</f>
        <v>0.3854166774999998</v>
      </c>
      <c r="E16" s="103">
        <f>AH18</f>
        <v>667</v>
      </c>
      <c r="F16" s="267">
        <f t="shared" ref="F16:Y16" si="0">AI18</f>
        <v>15</v>
      </c>
      <c r="G16" s="104">
        <f t="shared" si="0"/>
        <v>21</v>
      </c>
      <c r="H16" s="36">
        <f t="shared" si="0"/>
        <v>703</v>
      </c>
      <c r="I16" s="103">
        <f t="shared" si="0"/>
        <v>505</v>
      </c>
      <c r="J16" s="267">
        <f t="shared" si="0"/>
        <v>8</v>
      </c>
      <c r="K16" s="104">
        <f t="shared" si="0"/>
        <v>0</v>
      </c>
      <c r="L16" s="36">
        <f t="shared" si="0"/>
        <v>513</v>
      </c>
      <c r="M16" s="103">
        <f t="shared" si="0"/>
        <v>422</v>
      </c>
      <c r="N16" s="267">
        <f t="shared" si="0"/>
        <v>10</v>
      </c>
      <c r="O16" s="104">
        <f t="shared" si="0"/>
        <v>0</v>
      </c>
      <c r="P16" s="36">
        <f t="shared" si="0"/>
        <v>432</v>
      </c>
      <c r="Q16" s="103">
        <f t="shared" si="0"/>
        <v>451</v>
      </c>
      <c r="R16" s="267">
        <f t="shared" si="0"/>
        <v>12</v>
      </c>
      <c r="S16" s="104">
        <f t="shared" si="0"/>
        <v>29</v>
      </c>
      <c r="T16" s="36">
        <f t="shared" si="0"/>
        <v>492</v>
      </c>
      <c r="U16" s="103">
        <f t="shared" si="0"/>
        <v>123</v>
      </c>
      <c r="V16" s="267">
        <f t="shared" si="0"/>
        <v>2</v>
      </c>
      <c r="W16" s="104">
        <f t="shared" si="0"/>
        <v>0</v>
      </c>
      <c r="X16" s="36">
        <f t="shared" si="0"/>
        <v>125</v>
      </c>
      <c r="Y16" s="105">
        <f t="shared" si="0"/>
        <v>2265</v>
      </c>
      <c r="Z16" s="52"/>
      <c r="AB16" s="55"/>
      <c r="AC16" s="55"/>
      <c r="AD16" s="55"/>
      <c r="AE16" s="55"/>
      <c r="AG16" s="80">
        <v>1</v>
      </c>
      <c r="AH16" s="80">
        <v>2</v>
      </c>
      <c r="AI16" s="80">
        <v>3</v>
      </c>
      <c r="AJ16" s="80">
        <v>4</v>
      </c>
      <c r="AK16" s="80">
        <v>5</v>
      </c>
      <c r="AL16" s="80">
        <v>6</v>
      </c>
      <c r="AM16" s="80">
        <v>7</v>
      </c>
      <c r="AN16" s="80">
        <v>8</v>
      </c>
      <c r="AO16" s="80">
        <v>9</v>
      </c>
      <c r="AP16" s="80">
        <v>10</v>
      </c>
      <c r="AQ16" s="80">
        <v>11</v>
      </c>
      <c r="AR16" s="80">
        <v>12</v>
      </c>
      <c r="AS16" s="80">
        <v>13</v>
      </c>
      <c r="AT16" s="80">
        <v>14</v>
      </c>
      <c r="AU16" s="80">
        <v>15</v>
      </c>
      <c r="AV16" s="80">
        <v>16</v>
      </c>
      <c r="AW16" s="80">
        <v>17</v>
      </c>
      <c r="AX16" s="80">
        <v>18</v>
      </c>
      <c r="AY16" s="80">
        <v>19</v>
      </c>
      <c r="AZ16" s="80">
        <v>20</v>
      </c>
      <c r="BA16" s="80">
        <v>21</v>
      </c>
      <c r="BB16" s="80">
        <v>22</v>
      </c>
      <c r="BC16" s="52"/>
      <c r="BE16" s="106"/>
      <c r="BF16" s="106"/>
      <c r="BG16" s="106"/>
      <c r="BH16" s="106"/>
      <c r="BI16" s="106"/>
      <c r="BJ16" s="106"/>
      <c r="BK16" s="106"/>
      <c r="BL16" s="106"/>
    </row>
    <row r="17" spans="1:70" s="50" customFormat="1" ht="24.95" customHeight="1" thickBot="1">
      <c r="A17" s="84" t="s">
        <v>26</v>
      </c>
      <c r="B17" s="107">
        <f>AG19</f>
        <v>0.67708333916666685</v>
      </c>
      <c r="C17" s="108" t="s">
        <v>9</v>
      </c>
      <c r="D17" s="109">
        <f>SUM(0.04166667)+B17</f>
        <v>0.71875000916666687</v>
      </c>
      <c r="E17" s="110">
        <f>AH19</f>
        <v>742</v>
      </c>
      <c r="F17" s="268">
        <f t="shared" ref="F17:Y17" si="1">AI19</f>
        <v>1</v>
      </c>
      <c r="G17" s="111">
        <f t="shared" si="1"/>
        <v>14</v>
      </c>
      <c r="H17" s="112">
        <f t="shared" si="1"/>
        <v>757</v>
      </c>
      <c r="I17" s="110">
        <f t="shared" si="1"/>
        <v>328</v>
      </c>
      <c r="J17" s="268">
        <f t="shared" si="1"/>
        <v>2</v>
      </c>
      <c r="K17" s="111">
        <f t="shared" si="1"/>
        <v>0</v>
      </c>
      <c r="L17" s="112">
        <f t="shared" si="1"/>
        <v>330</v>
      </c>
      <c r="M17" s="110">
        <f t="shared" si="1"/>
        <v>759</v>
      </c>
      <c r="N17" s="268">
        <f t="shared" si="1"/>
        <v>6</v>
      </c>
      <c r="O17" s="111">
        <f t="shared" si="1"/>
        <v>0</v>
      </c>
      <c r="P17" s="112">
        <f t="shared" si="1"/>
        <v>765</v>
      </c>
      <c r="Q17" s="110">
        <f t="shared" si="1"/>
        <v>656</v>
      </c>
      <c r="R17" s="268">
        <f t="shared" si="1"/>
        <v>9</v>
      </c>
      <c r="S17" s="111">
        <f t="shared" si="1"/>
        <v>22</v>
      </c>
      <c r="T17" s="112">
        <f t="shared" si="1"/>
        <v>687</v>
      </c>
      <c r="U17" s="110">
        <f t="shared" si="1"/>
        <v>126</v>
      </c>
      <c r="V17" s="268">
        <f t="shared" si="1"/>
        <v>0</v>
      </c>
      <c r="W17" s="111">
        <f t="shared" si="1"/>
        <v>0</v>
      </c>
      <c r="X17" s="112">
        <f t="shared" si="1"/>
        <v>126</v>
      </c>
      <c r="Y17" s="113">
        <f t="shared" si="1"/>
        <v>2665</v>
      </c>
      <c r="Z17" s="114"/>
      <c r="AA17" s="52"/>
      <c r="AB17" s="52"/>
      <c r="AF17" s="51"/>
      <c r="AH17" s="115" t="s">
        <v>21</v>
      </c>
      <c r="AI17" s="116">
        <f>MAX(Y21:Y33)</f>
        <v>2265</v>
      </c>
      <c r="AJ17" s="115" t="s">
        <v>22</v>
      </c>
      <c r="AK17" s="116">
        <f>MAX(Y35:Y47)</f>
        <v>2665</v>
      </c>
      <c r="AM17" s="118"/>
      <c r="BD17" s="52"/>
      <c r="BE17" s="59"/>
      <c r="BF17" s="59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</row>
    <row r="18" spans="1:70" s="50" customFormat="1" ht="34.5" customHeight="1" thickBot="1">
      <c r="A18" s="118"/>
      <c r="B18" s="119"/>
      <c r="C18" s="120"/>
      <c r="D18" s="119"/>
      <c r="E18" s="120"/>
      <c r="F18" s="120"/>
      <c r="G18" s="120"/>
      <c r="H18" s="120"/>
      <c r="I18" s="121"/>
      <c r="J18" s="121"/>
      <c r="K18" s="120"/>
      <c r="L18" s="120"/>
      <c r="M18" s="120"/>
      <c r="N18" s="120"/>
      <c r="O18" s="120"/>
      <c r="P18" s="120"/>
      <c r="Q18" s="120"/>
      <c r="R18" s="120"/>
      <c r="S18" s="121"/>
      <c r="T18" s="120"/>
      <c r="U18" s="120"/>
      <c r="V18" s="120"/>
      <c r="W18" s="120"/>
      <c r="X18" s="120"/>
      <c r="Y18" s="120"/>
      <c r="Z18" s="117"/>
      <c r="AA18" s="117"/>
      <c r="AB18" s="117"/>
      <c r="AC18" s="117"/>
      <c r="AD18" s="117"/>
      <c r="AE18" s="117"/>
      <c r="AF18" s="122" t="s">
        <v>23</v>
      </c>
      <c r="AG18" s="123">
        <f>MIN(AG21:AG33)</f>
        <v>0.34375000749999979</v>
      </c>
      <c r="AH18" s="124">
        <f t="shared" ref="AH18" si="2">VLOOKUP($AG$18,$AG$21:$BB$33,AH16)</f>
        <v>667</v>
      </c>
      <c r="AI18" s="124">
        <f t="shared" ref="AI18:BB18" si="3">VLOOKUP($AG$18,$AG$21:$BB$33,AI16)</f>
        <v>15</v>
      </c>
      <c r="AJ18" s="124">
        <f t="shared" si="3"/>
        <v>21</v>
      </c>
      <c r="AK18" s="125">
        <f t="shared" si="3"/>
        <v>703</v>
      </c>
      <c r="AL18" s="124">
        <f t="shared" si="3"/>
        <v>505</v>
      </c>
      <c r="AM18" s="124">
        <f t="shared" si="3"/>
        <v>8</v>
      </c>
      <c r="AN18" s="124">
        <f t="shared" si="3"/>
        <v>0</v>
      </c>
      <c r="AO18" s="125">
        <f t="shared" si="3"/>
        <v>513</v>
      </c>
      <c r="AP18" s="124">
        <f t="shared" si="3"/>
        <v>422</v>
      </c>
      <c r="AQ18" s="124">
        <f t="shared" si="3"/>
        <v>10</v>
      </c>
      <c r="AR18" s="124">
        <f t="shared" si="3"/>
        <v>0</v>
      </c>
      <c r="AS18" s="125">
        <f t="shared" si="3"/>
        <v>432</v>
      </c>
      <c r="AT18" s="124">
        <f t="shared" si="3"/>
        <v>451</v>
      </c>
      <c r="AU18" s="124">
        <f t="shared" si="3"/>
        <v>12</v>
      </c>
      <c r="AV18" s="124">
        <f t="shared" si="3"/>
        <v>29</v>
      </c>
      <c r="AW18" s="125">
        <f t="shared" si="3"/>
        <v>492</v>
      </c>
      <c r="AX18" s="124">
        <f t="shared" si="3"/>
        <v>123</v>
      </c>
      <c r="AY18" s="124">
        <f t="shared" si="3"/>
        <v>2</v>
      </c>
      <c r="AZ18" s="124">
        <f t="shared" si="3"/>
        <v>0</v>
      </c>
      <c r="BA18" s="125">
        <f t="shared" si="3"/>
        <v>125</v>
      </c>
      <c r="BB18" s="126">
        <f t="shared" si="3"/>
        <v>2265</v>
      </c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</row>
    <row r="19" spans="1:70" s="50" customFormat="1" ht="33.75" customHeight="1" thickBot="1">
      <c r="B19" s="381" t="s">
        <v>5</v>
      </c>
      <c r="C19" s="382"/>
      <c r="D19" s="383"/>
      <c r="E19" s="384" t="str">
        <f>M12</f>
        <v>Great N Rd</v>
      </c>
      <c r="F19" s="385"/>
      <c r="G19" s="385"/>
      <c r="H19" s="386"/>
      <c r="I19" s="387" t="str">
        <f>R12</f>
        <v>St Georges Rd</v>
      </c>
      <c r="J19" s="388"/>
      <c r="K19" s="388"/>
      <c r="L19" s="389"/>
      <c r="M19" s="390" t="str">
        <f>U3</f>
        <v>St Jude St</v>
      </c>
      <c r="N19" s="391"/>
      <c r="O19" s="391"/>
      <c r="P19" s="392"/>
      <c r="Q19" s="396" t="str">
        <f>O2</f>
        <v>Great N Rd</v>
      </c>
      <c r="R19" s="397"/>
      <c r="S19" s="397"/>
      <c r="T19" s="398"/>
      <c r="U19" s="393" t="str">
        <f>M3</f>
        <v>Wingate St</v>
      </c>
      <c r="V19" s="394"/>
      <c r="W19" s="394"/>
      <c r="X19" s="395"/>
      <c r="Y19" s="399" t="s">
        <v>25</v>
      </c>
      <c r="Z19" s="97"/>
      <c r="AA19" s="97"/>
      <c r="AB19" s="97"/>
      <c r="AF19" s="127" t="s">
        <v>26</v>
      </c>
      <c r="AG19" s="123">
        <f>MIN(AG35:AG47)</f>
        <v>0.67708333916666685</v>
      </c>
      <c r="AH19" s="124">
        <f t="shared" ref="AH19" si="4">VLOOKUP($AG$19,$AG$35:$BB$47,AH16)</f>
        <v>742</v>
      </c>
      <c r="AI19" s="124">
        <f t="shared" ref="AI19:BB19" si="5">VLOOKUP($AG$19,$AG$35:$BB$47,AI16)</f>
        <v>1</v>
      </c>
      <c r="AJ19" s="124">
        <f t="shared" si="5"/>
        <v>14</v>
      </c>
      <c r="AK19" s="125">
        <f t="shared" si="5"/>
        <v>757</v>
      </c>
      <c r="AL19" s="124">
        <f t="shared" si="5"/>
        <v>328</v>
      </c>
      <c r="AM19" s="124">
        <f t="shared" si="5"/>
        <v>2</v>
      </c>
      <c r="AN19" s="124">
        <f t="shared" si="5"/>
        <v>0</v>
      </c>
      <c r="AO19" s="125">
        <f t="shared" si="5"/>
        <v>330</v>
      </c>
      <c r="AP19" s="124">
        <f t="shared" si="5"/>
        <v>759</v>
      </c>
      <c r="AQ19" s="124">
        <f t="shared" si="5"/>
        <v>6</v>
      </c>
      <c r="AR19" s="124">
        <f t="shared" si="5"/>
        <v>0</v>
      </c>
      <c r="AS19" s="125">
        <f t="shared" si="5"/>
        <v>765</v>
      </c>
      <c r="AT19" s="124">
        <f t="shared" si="5"/>
        <v>656</v>
      </c>
      <c r="AU19" s="124">
        <f t="shared" si="5"/>
        <v>9</v>
      </c>
      <c r="AV19" s="124">
        <f t="shared" si="5"/>
        <v>22</v>
      </c>
      <c r="AW19" s="125">
        <f t="shared" si="5"/>
        <v>687</v>
      </c>
      <c r="AX19" s="124">
        <f t="shared" si="5"/>
        <v>126</v>
      </c>
      <c r="AY19" s="124">
        <f t="shared" si="5"/>
        <v>0</v>
      </c>
      <c r="AZ19" s="124">
        <f t="shared" si="5"/>
        <v>0</v>
      </c>
      <c r="BA19" s="125">
        <f t="shared" si="5"/>
        <v>126</v>
      </c>
      <c r="BB19" s="126">
        <f t="shared" si="5"/>
        <v>2665</v>
      </c>
    </row>
    <row r="20" spans="1:70" s="56" customFormat="1" ht="49.5" thickBot="1">
      <c r="B20" s="402" t="s">
        <v>7</v>
      </c>
      <c r="C20" s="403"/>
      <c r="D20" s="404"/>
      <c r="E20" s="26" t="str">
        <f>'Raw data &amp; Hourly Summary'!$E$13</f>
        <v>Lights</v>
      </c>
      <c r="F20" s="270" t="str">
        <f>'Raw data &amp; Hourly Summary'!$G$13</f>
        <v>Heavies</v>
      </c>
      <c r="G20" s="27" t="str">
        <f>'Raw data &amp; Hourly Summary'!$I$13</f>
        <v>Buses</v>
      </c>
      <c r="H20" s="28" t="s">
        <v>8</v>
      </c>
      <c r="I20" s="26" t="str">
        <f>'Raw data &amp; Hourly Summary'!$E$13</f>
        <v>Lights</v>
      </c>
      <c r="J20" s="270" t="str">
        <f>'Raw data &amp; Hourly Summary'!$G$13</f>
        <v>Heavies</v>
      </c>
      <c r="K20" s="27" t="str">
        <f>'Raw data &amp; Hourly Summary'!$I$13</f>
        <v>Buses</v>
      </c>
      <c r="L20" s="28" t="s">
        <v>8</v>
      </c>
      <c r="M20" s="26" t="str">
        <f>'Raw data &amp; Hourly Summary'!$E$13</f>
        <v>Lights</v>
      </c>
      <c r="N20" s="270" t="str">
        <f>'Raw data &amp; Hourly Summary'!$G$13</f>
        <v>Heavies</v>
      </c>
      <c r="O20" s="27" t="str">
        <f>'Raw data &amp; Hourly Summary'!$I$13</f>
        <v>Buses</v>
      </c>
      <c r="P20" s="28" t="s">
        <v>8</v>
      </c>
      <c r="Q20" s="26" t="str">
        <f>'Raw data &amp; Hourly Summary'!$E$13</f>
        <v>Lights</v>
      </c>
      <c r="R20" s="270" t="str">
        <f>'Raw data &amp; Hourly Summary'!$G$13</f>
        <v>Heavies</v>
      </c>
      <c r="S20" s="27" t="str">
        <f>'Raw data &amp; Hourly Summary'!$I$13</f>
        <v>Buses</v>
      </c>
      <c r="T20" s="28" t="s">
        <v>8</v>
      </c>
      <c r="U20" s="26" t="str">
        <f>'Raw data &amp; Hourly Summary'!$E$13</f>
        <v>Lights</v>
      </c>
      <c r="V20" s="270" t="str">
        <f>'Raw data &amp; Hourly Summary'!$G$13</f>
        <v>Heavies</v>
      </c>
      <c r="W20" s="27" t="str">
        <f>'Raw data &amp; Hourly Summary'!$I$13</f>
        <v>Buses</v>
      </c>
      <c r="X20" s="28" t="s">
        <v>8</v>
      </c>
      <c r="Y20" s="401"/>
      <c r="Z20" s="98"/>
      <c r="AA20" s="98"/>
      <c r="AB20" s="98"/>
    </row>
    <row r="21" spans="1:70" s="50" customFormat="1" ht="24.95" customHeight="1">
      <c r="B21" s="128">
        <f>'Raw data &amp; Hourly Summary'!B18</f>
        <v>0.25</v>
      </c>
      <c r="C21" s="129" t="s">
        <v>9</v>
      </c>
      <c r="D21" s="130">
        <f t="shared" ref="D21:D39" si="6">SUM(0.04166667)+B21</f>
        <v>0.29166667000000002</v>
      </c>
      <c r="E21" s="33">
        <f>SUM('Raw data &amp; Hourly Summary'!E107,'Raw data &amp; Hourly Summary'!I107,'Raw data &amp; Hourly Summary'!M107,'Raw data &amp; Hourly Summary'!Q107,'Raw data &amp; Hourly Summary'!U107)</f>
        <v>649</v>
      </c>
      <c r="F21" s="264">
        <f>SUM('Raw data &amp; Hourly Summary'!F107,'Raw data &amp; Hourly Summary'!J107,'Raw data &amp; Hourly Summary'!N107,'Raw data &amp; Hourly Summary'!R107,'Raw data &amp; Hourly Summary'!V107)</f>
        <v>12</v>
      </c>
      <c r="G21" s="34">
        <f>SUM('Raw data &amp; Hourly Summary'!G107,'Raw data &amp; Hourly Summary'!K107,'Raw data &amp; Hourly Summary'!O107,'Raw data &amp; Hourly Summary'!S107,'Raw data &amp; Hourly Summary'!W107)</f>
        <v>18</v>
      </c>
      <c r="H21" s="36">
        <f t="shared" ref="H21:H48" si="7">SUM(E21:G21)</f>
        <v>679</v>
      </c>
      <c r="I21" s="33">
        <f>SUM('Raw data &amp; Hourly Summary'!Y107,'Raw data &amp; Hourly Summary'!AC107,'Raw data &amp; Hourly Summary'!AG107,'Raw data &amp; Hourly Summary'!AK107,'Raw data &amp; Hourly Summary'!AO107)</f>
        <v>159</v>
      </c>
      <c r="J21" s="264">
        <f>SUM('Raw data &amp; Hourly Summary'!Z107,'Raw data &amp; Hourly Summary'!AD107,'Raw data &amp; Hourly Summary'!AH107,'Raw data &amp; Hourly Summary'!AL107,'Raw data &amp; Hourly Summary'!AP107)</f>
        <v>2</v>
      </c>
      <c r="K21" s="34">
        <f>SUM('Raw data &amp; Hourly Summary'!AA107,'Raw data &amp; Hourly Summary'!AE107,'Raw data &amp; Hourly Summary'!AI107,'Raw data &amp; Hourly Summary'!AM107,'Raw data &amp; Hourly Summary'!AQ107)</f>
        <v>0</v>
      </c>
      <c r="L21" s="36">
        <f t="shared" ref="L21:L48" si="8">SUM(I21:K21)</f>
        <v>161</v>
      </c>
      <c r="M21" s="33">
        <f>SUM('Raw data &amp; Hourly Summary'!E139,'Raw data &amp; Hourly Summary'!I139,'Raw data &amp; Hourly Summary'!M139,'Raw data &amp; Hourly Summary'!Q139,'Raw data &amp; Hourly Summary'!U139)</f>
        <v>103</v>
      </c>
      <c r="N21" s="264">
        <f>SUM('Raw data &amp; Hourly Summary'!F139,'Raw data &amp; Hourly Summary'!J139,'Raw data &amp; Hourly Summary'!N139,'Raw data &amp; Hourly Summary'!R139,'Raw data &amp; Hourly Summary'!V139)</f>
        <v>8</v>
      </c>
      <c r="O21" s="34">
        <f>SUM('Raw data &amp; Hourly Summary'!G139,'Raw data &amp; Hourly Summary'!K139,'Raw data &amp; Hourly Summary'!O139,'Raw data &amp; Hourly Summary'!S139,'Raw data &amp; Hourly Summary'!W139)</f>
        <v>0</v>
      </c>
      <c r="P21" s="36">
        <f t="shared" ref="P21:P48" si="9">SUM(M21:O21)</f>
        <v>111</v>
      </c>
      <c r="Q21" s="33">
        <f>SUM('Raw data &amp; Hourly Summary'!Y139,'Raw data &amp; Hourly Summary'!AC139,'Raw data &amp; Hourly Summary'!AG139,'Raw data &amp; Hourly Summary'!AK139,'Raw data &amp; Hourly Summary'!AO139)</f>
        <v>142</v>
      </c>
      <c r="R21" s="264">
        <f>SUM('Raw data &amp; Hourly Summary'!Z139,'Raw data &amp; Hourly Summary'!AD139,'Raw data &amp; Hourly Summary'!AH139,'Raw data &amp; Hourly Summary'!AL139,'Raw data &amp; Hourly Summary'!AP139)</f>
        <v>8</v>
      </c>
      <c r="S21" s="34">
        <f>SUM('Raw data &amp; Hourly Summary'!AA139,'Raw data &amp; Hourly Summary'!AE139,'Raw data &amp; Hourly Summary'!AI139,'Raw data &amp; Hourly Summary'!AM139,'Raw data &amp; Hourly Summary'!AQ139)</f>
        <v>12</v>
      </c>
      <c r="T21" s="36">
        <f t="shared" ref="T21:T39" si="10">SUM(Q21:S21)</f>
        <v>162</v>
      </c>
      <c r="U21" s="33">
        <f>SUM('Raw data &amp; Hourly Summary'!AS139,'Raw data &amp; Hourly Summary'!AW139,'Raw data &amp; Hourly Summary'!BA139,'Raw data &amp; Hourly Summary'!BE139,'Raw data &amp; Hourly Summary'!BI139)</f>
        <v>51</v>
      </c>
      <c r="V21" s="264">
        <f>SUM('Raw data &amp; Hourly Summary'!AT139,'Raw data &amp; Hourly Summary'!AX139,'Raw data &amp; Hourly Summary'!BB139,'Raw data &amp; Hourly Summary'!BF139,'Raw data &amp; Hourly Summary'!BJ139)</f>
        <v>1</v>
      </c>
      <c r="W21" s="34">
        <f>SUM('Raw data &amp; Hourly Summary'!AU139,'Raw data &amp; Hourly Summary'!AY139,'Raw data &amp; Hourly Summary'!BC139,'Raw data &amp; Hourly Summary'!BG139,'Raw data &amp; Hourly Summary'!BK139)</f>
        <v>0</v>
      </c>
      <c r="X21" s="36">
        <f t="shared" ref="X21:X48" si="11">SUM(U21:W21)</f>
        <v>52</v>
      </c>
      <c r="Y21" s="105">
        <f>H21+L21+P21+T21+X21</f>
        <v>1165</v>
      </c>
      <c r="Z21" s="52"/>
      <c r="AA21" s="52"/>
      <c r="AB21" s="52"/>
      <c r="AG21" s="55" t="str">
        <f t="shared" ref="AG21:AG27" si="12">IF($BD21=$Y21,B21,"")</f>
        <v/>
      </c>
      <c r="AH21" s="50" t="str">
        <f t="shared" ref="AH21:AH27" si="13">IF($BD21=$Y21,E21,"")</f>
        <v/>
      </c>
      <c r="AI21" s="50" t="str">
        <f t="shared" ref="AI21:AI33" si="14">IF($BD21=$Y21,F21,"")</f>
        <v/>
      </c>
      <c r="AJ21" s="50" t="str">
        <f t="shared" ref="AJ21:AJ33" si="15">IF($BD21=$Y21,G21,"")</f>
        <v/>
      </c>
      <c r="AK21" s="50" t="str">
        <f t="shared" ref="AK21:AK33" si="16">IF($BD21=$Y21,H21,"")</f>
        <v/>
      </c>
      <c r="AL21" s="50" t="str">
        <f t="shared" ref="AL21:AL33" si="17">IF($BD21=$Y21,I21,"")</f>
        <v/>
      </c>
      <c r="AM21" s="50" t="str">
        <f t="shared" ref="AM21:AM33" si="18">IF($BD21=$Y21,J21,"")</f>
        <v/>
      </c>
      <c r="AN21" s="50" t="str">
        <f t="shared" ref="AN21:AN33" si="19">IF($BD21=$Y21,K21,"")</f>
        <v/>
      </c>
      <c r="AO21" s="50" t="str">
        <f t="shared" ref="AO21:AO33" si="20">IF($BD21=$Y21,L21,"")</f>
        <v/>
      </c>
      <c r="AP21" s="50" t="str">
        <f t="shared" ref="AP21:AP33" si="21">IF($BD21=$Y21,M21,"")</f>
        <v/>
      </c>
      <c r="AQ21" s="50" t="str">
        <f t="shared" ref="AQ21:AQ33" si="22">IF($BD21=$Y21,N21,"")</f>
        <v/>
      </c>
      <c r="AR21" s="50" t="str">
        <f t="shared" ref="AR21:AR33" si="23">IF($BD21=$Y21,O21,"")</f>
        <v/>
      </c>
      <c r="AS21" s="50" t="str">
        <f t="shared" ref="AS21:AS33" si="24">IF($BD21=$Y21,P21,"")</f>
        <v/>
      </c>
      <c r="AT21" s="50" t="str">
        <f t="shared" ref="AT21:AT33" si="25">IF($BD21=$Y21,Q21,"")</f>
        <v/>
      </c>
      <c r="AU21" s="50" t="str">
        <f t="shared" ref="AU21:AU33" si="26">IF($BD21=$Y21,R21,"")</f>
        <v/>
      </c>
      <c r="AV21" s="50" t="str">
        <f t="shared" ref="AV21:AV33" si="27">IF($BD21=$Y21,S21,"")</f>
        <v/>
      </c>
      <c r="AW21" s="50" t="str">
        <f t="shared" ref="AW21:AW33" si="28">IF($BD21=$Y21,T21,"")</f>
        <v/>
      </c>
      <c r="AX21" s="50" t="str">
        <f t="shared" ref="AX21:AX33" si="29">IF($BD21=$Y21,U21,"")</f>
        <v/>
      </c>
      <c r="AY21" s="50" t="str">
        <f t="shared" ref="AY21:AY33" si="30">IF($BD21=$Y21,V21,"")</f>
        <v/>
      </c>
      <c r="AZ21" s="50" t="str">
        <f t="shared" ref="AZ21:AZ33" si="31">IF($BD21=$Y21,W21,"")</f>
        <v/>
      </c>
      <c r="BA21" s="50" t="str">
        <f t="shared" ref="BA21:BA33" si="32">IF($BD21=$Y21,X21,"")</f>
        <v/>
      </c>
      <c r="BB21" s="50" t="str">
        <f t="shared" ref="BB21:BB33" si="33">IF($BD21=$Y21,Y21,"")</f>
        <v/>
      </c>
      <c r="BD21" s="131">
        <f t="shared" ref="BD21:BD46" si="34">+BD22</f>
        <v>2265</v>
      </c>
    </row>
    <row r="22" spans="1:70" s="50" customFormat="1" ht="24.95" customHeight="1">
      <c r="B22" s="30">
        <f t="shared" ref="B22:B47" si="35">SUM(0.04166667/4+B21)</f>
        <v>0.26041666749999998</v>
      </c>
      <c r="C22" s="31" t="s">
        <v>9</v>
      </c>
      <c r="D22" s="39">
        <f t="shared" si="6"/>
        <v>0.30208333749999999</v>
      </c>
      <c r="E22" s="40">
        <f>SUM('Raw data &amp; Hourly Summary'!E108,'Raw data &amp; Hourly Summary'!I108,'Raw data &amp; Hourly Summary'!M108,'Raw data &amp; Hourly Summary'!Q108,'Raw data &amp; Hourly Summary'!U108)</f>
        <v>789</v>
      </c>
      <c r="F22" s="269">
        <f>SUM('Raw data &amp; Hourly Summary'!F108,'Raw data &amp; Hourly Summary'!J108,'Raw data &amp; Hourly Summary'!N108,'Raw data &amp; Hourly Summary'!R108,'Raw data &amp; Hourly Summary'!V108)</f>
        <v>13</v>
      </c>
      <c r="G22" s="41">
        <f>SUM('Raw data &amp; Hourly Summary'!G108,'Raw data &amp; Hourly Summary'!K108,'Raw data &amp; Hourly Summary'!O108,'Raw data &amp; Hourly Summary'!S108,'Raw data &amp; Hourly Summary'!W108)</f>
        <v>19</v>
      </c>
      <c r="H22" s="42">
        <f t="shared" si="7"/>
        <v>821</v>
      </c>
      <c r="I22" s="40">
        <f>SUM('Raw data &amp; Hourly Summary'!Y108,'Raw data &amp; Hourly Summary'!AC108,'Raw data &amp; Hourly Summary'!AG108,'Raw data &amp; Hourly Summary'!AK108,'Raw data &amp; Hourly Summary'!AO108)</f>
        <v>186</v>
      </c>
      <c r="J22" s="269">
        <f>SUM('Raw data &amp; Hourly Summary'!Z108,'Raw data &amp; Hourly Summary'!AD108,'Raw data &amp; Hourly Summary'!AH108,'Raw data &amp; Hourly Summary'!AL108,'Raw data &amp; Hourly Summary'!AP108)</f>
        <v>2</v>
      </c>
      <c r="K22" s="41">
        <f>SUM('Raw data &amp; Hourly Summary'!AA108,'Raw data &amp; Hourly Summary'!AE108,'Raw data &amp; Hourly Summary'!AI108,'Raw data &amp; Hourly Summary'!AM108,'Raw data &amp; Hourly Summary'!AQ108)</f>
        <v>0</v>
      </c>
      <c r="L22" s="42">
        <f t="shared" si="8"/>
        <v>188</v>
      </c>
      <c r="M22" s="40">
        <f>SUM('Raw data &amp; Hourly Summary'!E140,'Raw data &amp; Hourly Summary'!I140,'Raw data &amp; Hourly Summary'!M140,'Raw data &amp; Hourly Summary'!Q140,'Raw data &amp; Hourly Summary'!U140)</f>
        <v>117</v>
      </c>
      <c r="N22" s="269">
        <f>SUM('Raw data &amp; Hourly Summary'!F140,'Raw data &amp; Hourly Summary'!J140,'Raw data &amp; Hourly Summary'!N140,'Raw data &amp; Hourly Summary'!R140,'Raw data &amp; Hourly Summary'!V140)</f>
        <v>8</v>
      </c>
      <c r="O22" s="41">
        <f>SUM('Raw data &amp; Hourly Summary'!G140,'Raw data &amp; Hourly Summary'!K140,'Raw data &amp; Hourly Summary'!O140,'Raw data &amp; Hourly Summary'!S140,'Raw data &amp; Hourly Summary'!W140)</f>
        <v>0</v>
      </c>
      <c r="P22" s="42">
        <f t="shared" si="9"/>
        <v>125</v>
      </c>
      <c r="Q22" s="40">
        <f>SUM('Raw data &amp; Hourly Summary'!Y140,'Raw data &amp; Hourly Summary'!AC140,'Raw data &amp; Hourly Summary'!AG140,'Raw data &amp; Hourly Summary'!AK140,'Raw data &amp; Hourly Summary'!AO140)</f>
        <v>158</v>
      </c>
      <c r="R22" s="269">
        <f>SUM('Raw data &amp; Hourly Summary'!Z140,'Raw data &amp; Hourly Summary'!AD140,'Raw data &amp; Hourly Summary'!AH140,'Raw data &amp; Hourly Summary'!AL140,'Raw data &amp; Hourly Summary'!AP140)</f>
        <v>8</v>
      </c>
      <c r="S22" s="41">
        <f>SUM('Raw data &amp; Hourly Summary'!AA140,'Raw data &amp; Hourly Summary'!AE140,'Raw data &amp; Hourly Summary'!AI140,'Raw data &amp; Hourly Summary'!AM140,'Raw data &amp; Hourly Summary'!AQ140)</f>
        <v>9</v>
      </c>
      <c r="T22" s="42">
        <f t="shared" si="10"/>
        <v>175</v>
      </c>
      <c r="U22" s="40">
        <f>SUM('Raw data &amp; Hourly Summary'!AS140,'Raw data &amp; Hourly Summary'!AW140,'Raw data &amp; Hourly Summary'!BA140,'Raw data &amp; Hourly Summary'!BE140,'Raw data &amp; Hourly Summary'!BI140)</f>
        <v>54</v>
      </c>
      <c r="V22" s="269">
        <f>SUM('Raw data &amp; Hourly Summary'!AT140,'Raw data &amp; Hourly Summary'!AX140,'Raw data &amp; Hourly Summary'!BB140,'Raw data &amp; Hourly Summary'!BF140,'Raw data &amp; Hourly Summary'!BJ140)</f>
        <v>1</v>
      </c>
      <c r="W22" s="41">
        <f>SUM('Raw data &amp; Hourly Summary'!AU140,'Raw data &amp; Hourly Summary'!AY140,'Raw data &amp; Hourly Summary'!BC140,'Raw data &amp; Hourly Summary'!BG140,'Raw data &amp; Hourly Summary'!BK140)</f>
        <v>0</v>
      </c>
      <c r="X22" s="42">
        <f t="shared" si="11"/>
        <v>55</v>
      </c>
      <c r="Y22" s="132">
        <f t="shared" ref="Y22:Y48" si="36">H22+L22+P22+T22+X22</f>
        <v>1364</v>
      </c>
      <c r="Z22" s="52"/>
      <c r="AA22" s="52"/>
      <c r="AB22" s="52"/>
      <c r="AG22" s="55" t="str">
        <f t="shared" si="12"/>
        <v/>
      </c>
      <c r="AH22" s="50" t="str">
        <f t="shared" si="13"/>
        <v/>
      </c>
      <c r="AI22" s="50" t="str">
        <f t="shared" si="14"/>
        <v/>
      </c>
      <c r="AJ22" s="50" t="str">
        <f t="shared" si="15"/>
        <v/>
      </c>
      <c r="AK22" s="50" t="str">
        <f t="shared" si="16"/>
        <v/>
      </c>
      <c r="AL22" s="50" t="str">
        <f t="shared" si="17"/>
        <v/>
      </c>
      <c r="AM22" s="50" t="str">
        <f t="shared" si="18"/>
        <v/>
      </c>
      <c r="AN22" s="50" t="str">
        <f t="shared" si="19"/>
        <v/>
      </c>
      <c r="AO22" s="50" t="str">
        <f t="shared" si="20"/>
        <v/>
      </c>
      <c r="AP22" s="50" t="str">
        <f t="shared" si="21"/>
        <v/>
      </c>
      <c r="AQ22" s="50" t="str">
        <f t="shared" si="22"/>
        <v/>
      </c>
      <c r="AR22" s="50" t="str">
        <f t="shared" si="23"/>
        <v/>
      </c>
      <c r="AS22" s="50" t="str">
        <f t="shared" si="24"/>
        <v/>
      </c>
      <c r="AT22" s="50" t="str">
        <f t="shared" si="25"/>
        <v/>
      </c>
      <c r="AU22" s="50" t="str">
        <f t="shared" si="26"/>
        <v/>
      </c>
      <c r="AV22" s="50" t="str">
        <f t="shared" si="27"/>
        <v/>
      </c>
      <c r="AW22" s="50" t="str">
        <f t="shared" si="28"/>
        <v/>
      </c>
      <c r="AX22" s="50" t="str">
        <f t="shared" si="29"/>
        <v/>
      </c>
      <c r="AY22" s="50" t="str">
        <f t="shared" si="30"/>
        <v/>
      </c>
      <c r="AZ22" s="50" t="str">
        <f t="shared" si="31"/>
        <v/>
      </c>
      <c r="BA22" s="50" t="str">
        <f t="shared" si="32"/>
        <v/>
      </c>
      <c r="BB22" s="50" t="str">
        <f t="shared" si="33"/>
        <v/>
      </c>
      <c r="BD22" s="131">
        <f t="shared" si="34"/>
        <v>2265</v>
      </c>
    </row>
    <row r="23" spans="1:70" s="50" customFormat="1" ht="24.95" customHeight="1">
      <c r="B23" s="30">
        <f t="shared" si="35"/>
        <v>0.27083333499999995</v>
      </c>
      <c r="C23" s="31" t="s">
        <v>9</v>
      </c>
      <c r="D23" s="39">
        <f t="shared" si="6"/>
        <v>0.31250000499999997</v>
      </c>
      <c r="E23" s="40">
        <f>SUM('Raw data &amp; Hourly Summary'!E109,'Raw data &amp; Hourly Summary'!I109,'Raw data &amp; Hourly Summary'!M109,'Raw data &amp; Hourly Summary'!Q109,'Raw data &amp; Hourly Summary'!U109)</f>
        <v>867</v>
      </c>
      <c r="F23" s="269">
        <f>SUM('Raw data &amp; Hourly Summary'!F109,'Raw data &amp; Hourly Summary'!J109,'Raw data &amp; Hourly Summary'!N109,'Raw data &amp; Hourly Summary'!R109,'Raw data &amp; Hourly Summary'!V109)</f>
        <v>16</v>
      </c>
      <c r="G23" s="41">
        <f>SUM('Raw data &amp; Hourly Summary'!G109,'Raw data &amp; Hourly Summary'!K109,'Raw data &amp; Hourly Summary'!O109,'Raw data &amp; Hourly Summary'!S109,'Raw data &amp; Hourly Summary'!W109)</f>
        <v>22</v>
      </c>
      <c r="H23" s="42">
        <f t="shared" si="7"/>
        <v>905</v>
      </c>
      <c r="I23" s="40">
        <f>SUM('Raw data &amp; Hourly Summary'!Y109,'Raw data &amp; Hourly Summary'!AC109,'Raw data &amp; Hourly Summary'!AG109,'Raw data &amp; Hourly Summary'!AK109,'Raw data &amp; Hourly Summary'!AO109)</f>
        <v>230</v>
      </c>
      <c r="J23" s="269">
        <f>SUM('Raw data &amp; Hourly Summary'!Z109,'Raw data &amp; Hourly Summary'!AD109,'Raw data &amp; Hourly Summary'!AH109,'Raw data &amp; Hourly Summary'!AL109,'Raw data &amp; Hourly Summary'!AP109)</f>
        <v>4</v>
      </c>
      <c r="K23" s="41">
        <f>SUM('Raw data &amp; Hourly Summary'!AA109,'Raw data &amp; Hourly Summary'!AE109,'Raw data &amp; Hourly Summary'!AI109,'Raw data &amp; Hourly Summary'!AM109,'Raw data &amp; Hourly Summary'!AQ109)</f>
        <v>0</v>
      </c>
      <c r="L23" s="42">
        <f t="shared" si="8"/>
        <v>234</v>
      </c>
      <c r="M23" s="40">
        <f>SUM('Raw data &amp; Hourly Summary'!E141,'Raw data &amp; Hourly Summary'!I141,'Raw data &amp; Hourly Summary'!M141,'Raw data &amp; Hourly Summary'!Q141,'Raw data &amp; Hourly Summary'!U141)</f>
        <v>149</v>
      </c>
      <c r="N23" s="269">
        <f>SUM('Raw data &amp; Hourly Summary'!F141,'Raw data &amp; Hourly Summary'!J141,'Raw data &amp; Hourly Summary'!N141,'Raw data &amp; Hourly Summary'!R141,'Raw data &amp; Hourly Summary'!V141)</f>
        <v>7</v>
      </c>
      <c r="O23" s="41">
        <f>SUM('Raw data &amp; Hourly Summary'!G141,'Raw data &amp; Hourly Summary'!K141,'Raw data &amp; Hourly Summary'!O141,'Raw data &amp; Hourly Summary'!S141,'Raw data &amp; Hourly Summary'!W141)</f>
        <v>0</v>
      </c>
      <c r="P23" s="42">
        <f t="shared" si="9"/>
        <v>156</v>
      </c>
      <c r="Q23" s="40">
        <f>SUM('Raw data &amp; Hourly Summary'!Y141,'Raw data &amp; Hourly Summary'!AC141,'Raw data &amp; Hourly Summary'!AG141,'Raw data &amp; Hourly Summary'!AK141,'Raw data &amp; Hourly Summary'!AO141)</f>
        <v>186</v>
      </c>
      <c r="R23" s="269">
        <f>SUM('Raw data &amp; Hourly Summary'!Z141,'Raw data &amp; Hourly Summary'!AD141,'Raw data &amp; Hourly Summary'!AH141,'Raw data &amp; Hourly Summary'!AL141,'Raw data &amp; Hourly Summary'!AP141)</f>
        <v>7</v>
      </c>
      <c r="S23" s="41">
        <f>SUM('Raw data &amp; Hourly Summary'!AA141,'Raw data &amp; Hourly Summary'!AE141,'Raw data &amp; Hourly Summary'!AI141,'Raw data &amp; Hourly Summary'!AM141,'Raw data &amp; Hourly Summary'!AQ141)</f>
        <v>8</v>
      </c>
      <c r="T23" s="42">
        <f t="shared" si="10"/>
        <v>201</v>
      </c>
      <c r="U23" s="40">
        <f>SUM('Raw data &amp; Hourly Summary'!AS141,'Raw data &amp; Hourly Summary'!AW141,'Raw data &amp; Hourly Summary'!BA141,'Raw data &amp; Hourly Summary'!BE141,'Raw data &amp; Hourly Summary'!BI141)</f>
        <v>67</v>
      </c>
      <c r="V23" s="269">
        <f>SUM('Raw data &amp; Hourly Summary'!AT141,'Raw data &amp; Hourly Summary'!AX141,'Raw data &amp; Hourly Summary'!BB141,'Raw data &amp; Hourly Summary'!BF141,'Raw data &amp; Hourly Summary'!BJ141)</f>
        <v>2</v>
      </c>
      <c r="W23" s="41">
        <f>SUM('Raw data &amp; Hourly Summary'!AU141,'Raw data &amp; Hourly Summary'!AY141,'Raw data &amp; Hourly Summary'!BC141,'Raw data &amp; Hourly Summary'!BG141,'Raw data &amp; Hourly Summary'!BK141)</f>
        <v>0</v>
      </c>
      <c r="X23" s="42">
        <f t="shared" si="11"/>
        <v>69</v>
      </c>
      <c r="Y23" s="132">
        <f t="shared" si="36"/>
        <v>1565</v>
      </c>
      <c r="Z23" s="52"/>
      <c r="AA23" s="52"/>
      <c r="AB23" s="52"/>
      <c r="AG23" s="55" t="str">
        <f t="shared" si="12"/>
        <v/>
      </c>
      <c r="AH23" s="50" t="str">
        <f t="shared" si="13"/>
        <v/>
      </c>
      <c r="AI23" s="50" t="str">
        <f t="shared" si="14"/>
        <v/>
      </c>
      <c r="AJ23" s="50" t="str">
        <f t="shared" si="15"/>
        <v/>
      </c>
      <c r="AK23" s="50" t="str">
        <f t="shared" si="16"/>
        <v/>
      </c>
      <c r="AL23" s="50" t="str">
        <f t="shared" si="17"/>
        <v/>
      </c>
      <c r="AM23" s="50" t="str">
        <f t="shared" si="18"/>
        <v/>
      </c>
      <c r="AN23" s="50" t="str">
        <f t="shared" si="19"/>
        <v/>
      </c>
      <c r="AO23" s="50" t="str">
        <f t="shared" si="20"/>
        <v/>
      </c>
      <c r="AP23" s="50" t="str">
        <f t="shared" si="21"/>
        <v/>
      </c>
      <c r="AQ23" s="50" t="str">
        <f t="shared" si="22"/>
        <v/>
      </c>
      <c r="AR23" s="50" t="str">
        <f t="shared" si="23"/>
        <v/>
      </c>
      <c r="AS23" s="50" t="str">
        <f t="shared" si="24"/>
        <v/>
      </c>
      <c r="AT23" s="50" t="str">
        <f t="shared" si="25"/>
        <v/>
      </c>
      <c r="AU23" s="50" t="str">
        <f t="shared" si="26"/>
        <v/>
      </c>
      <c r="AV23" s="50" t="str">
        <f t="shared" si="27"/>
        <v/>
      </c>
      <c r="AW23" s="50" t="str">
        <f t="shared" si="28"/>
        <v/>
      </c>
      <c r="AX23" s="50" t="str">
        <f t="shared" si="29"/>
        <v/>
      </c>
      <c r="AY23" s="50" t="str">
        <f t="shared" si="30"/>
        <v/>
      </c>
      <c r="AZ23" s="50" t="str">
        <f t="shared" si="31"/>
        <v/>
      </c>
      <c r="BA23" s="50" t="str">
        <f t="shared" si="32"/>
        <v/>
      </c>
      <c r="BB23" s="50" t="str">
        <f t="shared" si="33"/>
        <v/>
      </c>
      <c r="BD23" s="131">
        <f t="shared" si="34"/>
        <v>2265</v>
      </c>
    </row>
    <row r="24" spans="1:70" s="50" customFormat="1" ht="24.95" customHeight="1">
      <c r="B24" s="30">
        <f t="shared" si="35"/>
        <v>0.28125000249999993</v>
      </c>
      <c r="C24" s="31" t="s">
        <v>9</v>
      </c>
      <c r="D24" s="39">
        <f t="shared" si="6"/>
        <v>0.32291667249999995</v>
      </c>
      <c r="E24" s="40">
        <f>SUM('Raw data &amp; Hourly Summary'!E110,'Raw data &amp; Hourly Summary'!I110,'Raw data &amp; Hourly Summary'!M110,'Raw data &amp; Hourly Summary'!Q110,'Raw data &amp; Hourly Summary'!U110)</f>
        <v>894</v>
      </c>
      <c r="F24" s="269">
        <f>SUM('Raw data &amp; Hourly Summary'!F110,'Raw data &amp; Hourly Summary'!J110,'Raw data &amp; Hourly Summary'!N110,'Raw data &amp; Hourly Summary'!R110,'Raw data &amp; Hourly Summary'!V110)</f>
        <v>15</v>
      </c>
      <c r="G24" s="41">
        <f>SUM('Raw data &amp; Hourly Summary'!G110,'Raw data &amp; Hourly Summary'!K110,'Raw data &amp; Hourly Summary'!O110,'Raw data &amp; Hourly Summary'!S110,'Raw data &amp; Hourly Summary'!W110)</f>
        <v>23</v>
      </c>
      <c r="H24" s="42">
        <f t="shared" si="7"/>
        <v>932</v>
      </c>
      <c r="I24" s="40">
        <f>SUM('Raw data &amp; Hourly Summary'!Y110,'Raw data &amp; Hourly Summary'!AC110,'Raw data &amp; Hourly Summary'!AG110,'Raw data &amp; Hourly Summary'!AK110,'Raw data &amp; Hourly Summary'!AO110)</f>
        <v>282</v>
      </c>
      <c r="J24" s="269">
        <f>SUM('Raw data &amp; Hourly Summary'!Z110,'Raw data &amp; Hourly Summary'!AD110,'Raw data &amp; Hourly Summary'!AH110,'Raw data &amp; Hourly Summary'!AL110,'Raw data &amp; Hourly Summary'!AP110)</f>
        <v>5</v>
      </c>
      <c r="K24" s="41">
        <f>SUM('Raw data &amp; Hourly Summary'!AA110,'Raw data &amp; Hourly Summary'!AE110,'Raw data &amp; Hourly Summary'!AI110,'Raw data &amp; Hourly Summary'!AM110,'Raw data &amp; Hourly Summary'!AQ110)</f>
        <v>0</v>
      </c>
      <c r="L24" s="42">
        <f t="shared" si="8"/>
        <v>287</v>
      </c>
      <c r="M24" s="40">
        <f>SUM('Raw data &amp; Hourly Summary'!E142,'Raw data &amp; Hourly Summary'!I142,'Raw data &amp; Hourly Summary'!M142,'Raw data &amp; Hourly Summary'!Q142,'Raw data &amp; Hourly Summary'!U142)</f>
        <v>173</v>
      </c>
      <c r="N24" s="269">
        <f>SUM('Raw data &amp; Hourly Summary'!F142,'Raw data &amp; Hourly Summary'!J142,'Raw data &amp; Hourly Summary'!N142,'Raw data &amp; Hourly Summary'!R142,'Raw data &amp; Hourly Summary'!V142)</f>
        <v>11</v>
      </c>
      <c r="O24" s="41">
        <f>SUM('Raw data &amp; Hourly Summary'!G142,'Raw data &amp; Hourly Summary'!K142,'Raw data &amp; Hourly Summary'!O142,'Raw data &amp; Hourly Summary'!S142,'Raw data &amp; Hourly Summary'!W142)</f>
        <v>0</v>
      </c>
      <c r="P24" s="42">
        <f t="shared" si="9"/>
        <v>184</v>
      </c>
      <c r="Q24" s="40">
        <f>SUM('Raw data &amp; Hourly Summary'!Y142,'Raw data &amp; Hourly Summary'!AC142,'Raw data &amp; Hourly Summary'!AG142,'Raw data &amp; Hourly Summary'!AK142,'Raw data &amp; Hourly Summary'!AO142)</f>
        <v>207</v>
      </c>
      <c r="R24" s="269">
        <f>SUM('Raw data &amp; Hourly Summary'!Z142,'Raw data &amp; Hourly Summary'!AD142,'Raw data &amp; Hourly Summary'!AH142,'Raw data &amp; Hourly Summary'!AL142,'Raw data &amp; Hourly Summary'!AP142)</f>
        <v>4</v>
      </c>
      <c r="S24" s="41">
        <f>SUM('Raw data &amp; Hourly Summary'!AA142,'Raw data &amp; Hourly Summary'!AE142,'Raw data &amp; Hourly Summary'!AI142,'Raw data &amp; Hourly Summary'!AM142,'Raw data &amp; Hourly Summary'!AQ142)</f>
        <v>10</v>
      </c>
      <c r="T24" s="42">
        <f t="shared" si="10"/>
        <v>221</v>
      </c>
      <c r="U24" s="40">
        <f>SUM('Raw data &amp; Hourly Summary'!AS142,'Raw data &amp; Hourly Summary'!AW142,'Raw data &amp; Hourly Summary'!BA142,'Raw data &amp; Hourly Summary'!BE142,'Raw data &amp; Hourly Summary'!BI142)</f>
        <v>100</v>
      </c>
      <c r="V24" s="269">
        <f>SUM('Raw data &amp; Hourly Summary'!AT142,'Raw data &amp; Hourly Summary'!AX142,'Raw data &amp; Hourly Summary'!BB142,'Raw data &amp; Hourly Summary'!BF142,'Raw data &amp; Hourly Summary'!BJ142)</f>
        <v>2</v>
      </c>
      <c r="W24" s="41">
        <f>SUM('Raw data &amp; Hourly Summary'!AU142,'Raw data &amp; Hourly Summary'!AY142,'Raw data &amp; Hourly Summary'!BC142,'Raw data &amp; Hourly Summary'!BG142,'Raw data &amp; Hourly Summary'!BK142)</f>
        <v>0</v>
      </c>
      <c r="X24" s="42">
        <f t="shared" si="11"/>
        <v>102</v>
      </c>
      <c r="Y24" s="132">
        <f t="shared" si="36"/>
        <v>1726</v>
      </c>
      <c r="Z24" s="52"/>
      <c r="AA24" s="52"/>
      <c r="AB24" s="52"/>
      <c r="AG24" s="55" t="str">
        <f t="shared" si="12"/>
        <v/>
      </c>
      <c r="AH24" s="50" t="str">
        <f t="shared" si="13"/>
        <v/>
      </c>
      <c r="AI24" s="50" t="str">
        <f t="shared" si="14"/>
        <v/>
      </c>
      <c r="AJ24" s="50" t="str">
        <f t="shared" si="15"/>
        <v/>
      </c>
      <c r="AK24" s="50" t="str">
        <f t="shared" si="16"/>
        <v/>
      </c>
      <c r="AL24" s="50" t="str">
        <f t="shared" si="17"/>
        <v/>
      </c>
      <c r="AM24" s="50" t="str">
        <f t="shared" si="18"/>
        <v/>
      </c>
      <c r="AN24" s="50" t="str">
        <f t="shared" si="19"/>
        <v/>
      </c>
      <c r="AO24" s="50" t="str">
        <f t="shared" si="20"/>
        <v/>
      </c>
      <c r="AP24" s="50" t="str">
        <f t="shared" si="21"/>
        <v/>
      </c>
      <c r="AQ24" s="50" t="str">
        <f t="shared" si="22"/>
        <v/>
      </c>
      <c r="AR24" s="50" t="str">
        <f t="shared" si="23"/>
        <v/>
      </c>
      <c r="AS24" s="50" t="str">
        <f t="shared" si="24"/>
        <v/>
      </c>
      <c r="AT24" s="50" t="str">
        <f t="shared" si="25"/>
        <v/>
      </c>
      <c r="AU24" s="50" t="str">
        <f t="shared" si="26"/>
        <v/>
      </c>
      <c r="AV24" s="50" t="str">
        <f t="shared" si="27"/>
        <v/>
      </c>
      <c r="AW24" s="50" t="str">
        <f t="shared" si="28"/>
        <v/>
      </c>
      <c r="AX24" s="50" t="str">
        <f t="shared" si="29"/>
        <v/>
      </c>
      <c r="AY24" s="50" t="str">
        <f t="shared" si="30"/>
        <v/>
      </c>
      <c r="AZ24" s="50" t="str">
        <f t="shared" si="31"/>
        <v/>
      </c>
      <c r="BA24" s="50" t="str">
        <f t="shared" si="32"/>
        <v/>
      </c>
      <c r="BB24" s="50" t="str">
        <f t="shared" si="33"/>
        <v/>
      </c>
      <c r="BD24" s="131">
        <f t="shared" si="34"/>
        <v>2265</v>
      </c>
    </row>
    <row r="25" spans="1:70" s="50" customFormat="1" ht="24.95" customHeight="1">
      <c r="B25" s="30">
        <f t="shared" si="35"/>
        <v>0.29166666999999991</v>
      </c>
      <c r="C25" s="31" t="s">
        <v>9</v>
      </c>
      <c r="D25" s="39">
        <f t="shared" si="6"/>
        <v>0.33333333999999992</v>
      </c>
      <c r="E25" s="40">
        <f>SUM('Raw data &amp; Hourly Summary'!E111,'Raw data &amp; Hourly Summary'!I111,'Raw data &amp; Hourly Summary'!M111,'Raw data &amp; Hourly Summary'!Q111,'Raw data &amp; Hourly Summary'!U111)</f>
        <v>854</v>
      </c>
      <c r="F25" s="269">
        <f>SUM('Raw data &amp; Hourly Summary'!F111,'Raw data &amp; Hourly Summary'!J111,'Raw data &amp; Hourly Summary'!N111,'Raw data &amp; Hourly Summary'!R111,'Raw data &amp; Hourly Summary'!V111)</f>
        <v>11</v>
      </c>
      <c r="G25" s="41">
        <f>SUM('Raw data &amp; Hourly Summary'!G111,'Raw data &amp; Hourly Summary'!K111,'Raw data &amp; Hourly Summary'!O111,'Raw data &amp; Hourly Summary'!S111,'Raw data &amp; Hourly Summary'!W111)</f>
        <v>24</v>
      </c>
      <c r="H25" s="42">
        <f t="shared" si="7"/>
        <v>889</v>
      </c>
      <c r="I25" s="40">
        <f>SUM('Raw data &amp; Hourly Summary'!Y111,'Raw data &amp; Hourly Summary'!AC111,'Raw data &amp; Hourly Summary'!AG111,'Raw data &amp; Hourly Summary'!AK111,'Raw data &amp; Hourly Summary'!AO111)</f>
        <v>333</v>
      </c>
      <c r="J25" s="269">
        <f>SUM('Raw data &amp; Hourly Summary'!Z111,'Raw data &amp; Hourly Summary'!AD111,'Raw data &amp; Hourly Summary'!AH111,'Raw data &amp; Hourly Summary'!AL111,'Raw data &amp; Hourly Summary'!AP111)</f>
        <v>4</v>
      </c>
      <c r="K25" s="41">
        <f>SUM('Raw data &amp; Hourly Summary'!AA111,'Raw data &amp; Hourly Summary'!AE111,'Raw data &amp; Hourly Summary'!AI111,'Raw data &amp; Hourly Summary'!AM111,'Raw data &amp; Hourly Summary'!AQ111)</f>
        <v>0</v>
      </c>
      <c r="L25" s="42">
        <f t="shared" si="8"/>
        <v>337</v>
      </c>
      <c r="M25" s="40">
        <f>SUM('Raw data &amp; Hourly Summary'!E143,'Raw data &amp; Hourly Summary'!I143,'Raw data &amp; Hourly Summary'!M143,'Raw data &amp; Hourly Summary'!Q143,'Raw data &amp; Hourly Summary'!U143)</f>
        <v>208</v>
      </c>
      <c r="N25" s="269">
        <f>SUM('Raw data &amp; Hourly Summary'!F143,'Raw data &amp; Hourly Summary'!J143,'Raw data &amp; Hourly Summary'!N143,'Raw data &amp; Hourly Summary'!R143,'Raw data &amp; Hourly Summary'!V143)</f>
        <v>11</v>
      </c>
      <c r="O25" s="41">
        <f>SUM('Raw data &amp; Hourly Summary'!G143,'Raw data &amp; Hourly Summary'!K143,'Raw data &amp; Hourly Summary'!O143,'Raw data &amp; Hourly Summary'!S143,'Raw data &amp; Hourly Summary'!W143)</f>
        <v>0</v>
      </c>
      <c r="P25" s="42">
        <f t="shared" si="9"/>
        <v>219</v>
      </c>
      <c r="Q25" s="40">
        <f>SUM('Raw data &amp; Hourly Summary'!Y143,'Raw data &amp; Hourly Summary'!AC143,'Raw data &amp; Hourly Summary'!AG143,'Raw data &amp; Hourly Summary'!AK143,'Raw data &amp; Hourly Summary'!AO143)</f>
        <v>236</v>
      </c>
      <c r="R25" s="269">
        <f>SUM('Raw data &amp; Hourly Summary'!Z143,'Raw data &amp; Hourly Summary'!AD143,'Raw data &amp; Hourly Summary'!AH143,'Raw data &amp; Hourly Summary'!AL143,'Raw data &amp; Hourly Summary'!AP143)</f>
        <v>8</v>
      </c>
      <c r="S25" s="41">
        <f>SUM('Raw data &amp; Hourly Summary'!AA143,'Raw data &amp; Hourly Summary'!AE143,'Raw data &amp; Hourly Summary'!AI143,'Raw data &amp; Hourly Summary'!AM143,'Raw data &amp; Hourly Summary'!AQ143)</f>
        <v>12</v>
      </c>
      <c r="T25" s="42">
        <f t="shared" si="10"/>
        <v>256</v>
      </c>
      <c r="U25" s="40">
        <f>SUM('Raw data &amp; Hourly Summary'!AS143,'Raw data &amp; Hourly Summary'!AW143,'Raw data &amp; Hourly Summary'!BA143,'Raw data &amp; Hourly Summary'!BE143,'Raw data &amp; Hourly Summary'!BI143)</f>
        <v>134</v>
      </c>
      <c r="V25" s="269">
        <f>SUM('Raw data &amp; Hourly Summary'!AT143,'Raw data &amp; Hourly Summary'!AX143,'Raw data &amp; Hourly Summary'!BB143,'Raw data &amp; Hourly Summary'!BF143,'Raw data &amp; Hourly Summary'!BJ143)</f>
        <v>4</v>
      </c>
      <c r="W25" s="41">
        <f>SUM('Raw data &amp; Hourly Summary'!AU143,'Raw data &amp; Hourly Summary'!AY143,'Raw data &amp; Hourly Summary'!BC143,'Raw data &amp; Hourly Summary'!BG143,'Raw data &amp; Hourly Summary'!BK143)</f>
        <v>0</v>
      </c>
      <c r="X25" s="42">
        <f t="shared" si="11"/>
        <v>138</v>
      </c>
      <c r="Y25" s="132">
        <f t="shared" si="36"/>
        <v>1839</v>
      </c>
      <c r="Z25" s="52"/>
      <c r="AA25" s="52"/>
      <c r="AB25" s="52"/>
      <c r="AG25" s="55" t="str">
        <f t="shared" si="12"/>
        <v/>
      </c>
      <c r="AH25" s="50" t="str">
        <f t="shared" si="13"/>
        <v/>
      </c>
      <c r="AI25" s="50" t="str">
        <f t="shared" si="14"/>
        <v/>
      </c>
      <c r="AJ25" s="50" t="str">
        <f t="shared" si="15"/>
        <v/>
      </c>
      <c r="AK25" s="50" t="str">
        <f t="shared" si="16"/>
        <v/>
      </c>
      <c r="AL25" s="50" t="str">
        <f t="shared" si="17"/>
        <v/>
      </c>
      <c r="AM25" s="50" t="str">
        <f t="shared" si="18"/>
        <v/>
      </c>
      <c r="AN25" s="50" t="str">
        <f t="shared" si="19"/>
        <v/>
      </c>
      <c r="AO25" s="50" t="str">
        <f t="shared" si="20"/>
        <v/>
      </c>
      <c r="AP25" s="50" t="str">
        <f t="shared" si="21"/>
        <v/>
      </c>
      <c r="AQ25" s="50" t="str">
        <f t="shared" si="22"/>
        <v/>
      </c>
      <c r="AR25" s="50" t="str">
        <f t="shared" si="23"/>
        <v/>
      </c>
      <c r="AS25" s="50" t="str">
        <f t="shared" si="24"/>
        <v/>
      </c>
      <c r="AT25" s="50" t="str">
        <f t="shared" si="25"/>
        <v/>
      </c>
      <c r="AU25" s="50" t="str">
        <f t="shared" si="26"/>
        <v/>
      </c>
      <c r="AV25" s="50" t="str">
        <f t="shared" si="27"/>
        <v/>
      </c>
      <c r="AW25" s="50" t="str">
        <f t="shared" si="28"/>
        <v/>
      </c>
      <c r="AX25" s="50" t="str">
        <f t="shared" si="29"/>
        <v/>
      </c>
      <c r="AY25" s="50" t="str">
        <f t="shared" si="30"/>
        <v/>
      </c>
      <c r="AZ25" s="50" t="str">
        <f t="shared" si="31"/>
        <v/>
      </c>
      <c r="BA25" s="50" t="str">
        <f t="shared" si="32"/>
        <v/>
      </c>
      <c r="BB25" s="50" t="str">
        <f t="shared" si="33"/>
        <v/>
      </c>
      <c r="BD25" s="131">
        <f t="shared" si="34"/>
        <v>2265</v>
      </c>
    </row>
    <row r="26" spans="1:70" s="50" customFormat="1" ht="24.95" customHeight="1">
      <c r="B26" s="30">
        <f t="shared" si="35"/>
        <v>0.30208333749999988</v>
      </c>
      <c r="C26" s="31" t="s">
        <v>9</v>
      </c>
      <c r="D26" s="39">
        <f t="shared" ref="D26:D27" si="37">SUM(0.04166667)+B26</f>
        <v>0.3437500074999999</v>
      </c>
      <c r="E26" s="40">
        <f>SUM('Raw data &amp; Hourly Summary'!E112,'Raw data &amp; Hourly Summary'!I112,'Raw data &amp; Hourly Summary'!M112,'Raw data &amp; Hourly Summary'!Q112,'Raw data &amp; Hourly Summary'!U112)</f>
        <v>781</v>
      </c>
      <c r="F26" s="269">
        <f>SUM('Raw data &amp; Hourly Summary'!F112,'Raw data &amp; Hourly Summary'!J112,'Raw data &amp; Hourly Summary'!N112,'Raw data &amp; Hourly Summary'!R112,'Raw data &amp; Hourly Summary'!V112)</f>
        <v>12</v>
      </c>
      <c r="G26" s="41">
        <f>SUM('Raw data &amp; Hourly Summary'!G112,'Raw data &amp; Hourly Summary'!K112,'Raw data &amp; Hourly Summary'!O112,'Raw data &amp; Hourly Summary'!S112,'Raw data &amp; Hourly Summary'!W112)</f>
        <v>25</v>
      </c>
      <c r="H26" s="42">
        <f t="shared" si="7"/>
        <v>818</v>
      </c>
      <c r="I26" s="40">
        <f>SUM('Raw data &amp; Hourly Summary'!Y112,'Raw data &amp; Hourly Summary'!AC112,'Raw data &amp; Hourly Summary'!AG112,'Raw data &amp; Hourly Summary'!AK112,'Raw data &amp; Hourly Summary'!AO112)</f>
        <v>414</v>
      </c>
      <c r="J26" s="269">
        <f>SUM('Raw data &amp; Hourly Summary'!Z112,'Raw data &amp; Hourly Summary'!AD112,'Raw data &amp; Hourly Summary'!AH112,'Raw data &amp; Hourly Summary'!AL112,'Raw data &amp; Hourly Summary'!AP112)</f>
        <v>7</v>
      </c>
      <c r="K26" s="41">
        <f>SUM('Raw data &amp; Hourly Summary'!AA112,'Raw data &amp; Hourly Summary'!AE112,'Raw data &amp; Hourly Summary'!AI112,'Raw data &amp; Hourly Summary'!AM112,'Raw data &amp; Hourly Summary'!AQ112)</f>
        <v>0</v>
      </c>
      <c r="L26" s="42">
        <f t="shared" si="8"/>
        <v>421</v>
      </c>
      <c r="M26" s="40">
        <f>SUM('Raw data &amp; Hourly Summary'!E144,'Raw data &amp; Hourly Summary'!I144,'Raw data &amp; Hourly Summary'!M144,'Raw data &amp; Hourly Summary'!Q144,'Raw data &amp; Hourly Summary'!U144)</f>
        <v>246</v>
      </c>
      <c r="N26" s="269">
        <f>SUM('Raw data &amp; Hourly Summary'!F144,'Raw data &amp; Hourly Summary'!J144,'Raw data &amp; Hourly Summary'!N144,'Raw data &amp; Hourly Summary'!R144,'Raw data &amp; Hourly Summary'!V144)</f>
        <v>9</v>
      </c>
      <c r="O26" s="41">
        <f>SUM('Raw data &amp; Hourly Summary'!G144,'Raw data &amp; Hourly Summary'!K144,'Raw data &amp; Hourly Summary'!O144,'Raw data &amp; Hourly Summary'!S144,'Raw data &amp; Hourly Summary'!W144)</f>
        <v>1</v>
      </c>
      <c r="P26" s="42">
        <f t="shared" si="9"/>
        <v>256</v>
      </c>
      <c r="Q26" s="40">
        <f>SUM('Raw data &amp; Hourly Summary'!Y144,'Raw data &amp; Hourly Summary'!AC144,'Raw data &amp; Hourly Summary'!AG144,'Raw data &amp; Hourly Summary'!AK144,'Raw data &amp; Hourly Summary'!AO144)</f>
        <v>274</v>
      </c>
      <c r="R26" s="269">
        <f>SUM('Raw data &amp; Hourly Summary'!Z144,'Raw data &amp; Hourly Summary'!AD144,'Raw data &amp; Hourly Summary'!AH144,'Raw data &amp; Hourly Summary'!AL144,'Raw data &amp; Hourly Summary'!AP144)</f>
        <v>10</v>
      </c>
      <c r="S26" s="41">
        <f>SUM('Raw data &amp; Hourly Summary'!AA144,'Raw data &amp; Hourly Summary'!AE144,'Raw data &amp; Hourly Summary'!AI144,'Raw data &amp; Hourly Summary'!AM144,'Raw data &amp; Hourly Summary'!AQ144)</f>
        <v>16</v>
      </c>
      <c r="T26" s="42">
        <f t="shared" si="10"/>
        <v>300</v>
      </c>
      <c r="U26" s="40">
        <f>SUM('Raw data &amp; Hourly Summary'!AS144,'Raw data &amp; Hourly Summary'!AW144,'Raw data &amp; Hourly Summary'!BA144,'Raw data &amp; Hourly Summary'!BE144,'Raw data &amp; Hourly Summary'!BI144)</f>
        <v>189</v>
      </c>
      <c r="V26" s="269">
        <f>SUM('Raw data &amp; Hourly Summary'!AT144,'Raw data &amp; Hourly Summary'!AX144,'Raw data &amp; Hourly Summary'!BB144,'Raw data &amp; Hourly Summary'!BF144,'Raw data &amp; Hourly Summary'!BJ144)</f>
        <v>4</v>
      </c>
      <c r="W26" s="41">
        <f>SUM('Raw data &amp; Hourly Summary'!AU144,'Raw data &amp; Hourly Summary'!AY144,'Raw data &amp; Hourly Summary'!BC144,'Raw data &amp; Hourly Summary'!BG144,'Raw data &amp; Hourly Summary'!BK144)</f>
        <v>0</v>
      </c>
      <c r="X26" s="42">
        <f t="shared" si="11"/>
        <v>193</v>
      </c>
      <c r="Y26" s="132">
        <f t="shared" si="36"/>
        <v>1988</v>
      </c>
      <c r="Z26" s="52"/>
      <c r="AA26" s="52"/>
      <c r="AB26" s="52"/>
      <c r="AG26" s="55" t="str">
        <f t="shared" si="12"/>
        <v/>
      </c>
      <c r="AH26" s="50" t="str">
        <f t="shared" si="13"/>
        <v/>
      </c>
      <c r="AI26" s="50" t="str">
        <f t="shared" si="14"/>
        <v/>
      </c>
      <c r="AJ26" s="50" t="str">
        <f t="shared" si="15"/>
        <v/>
      </c>
      <c r="AK26" s="50" t="str">
        <f t="shared" si="16"/>
        <v/>
      </c>
      <c r="AL26" s="50" t="str">
        <f t="shared" si="17"/>
        <v/>
      </c>
      <c r="AM26" s="50" t="str">
        <f t="shared" si="18"/>
        <v/>
      </c>
      <c r="AN26" s="50" t="str">
        <f t="shared" si="19"/>
        <v/>
      </c>
      <c r="AO26" s="50" t="str">
        <f t="shared" si="20"/>
        <v/>
      </c>
      <c r="AP26" s="50" t="str">
        <f t="shared" si="21"/>
        <v/>
      </c>
      <c r="AQ26" s="50" t="str">
        <f t="shared" si="22"/>
        <v/>
      </c>
      <c r="AR26" s="50" t="str">
        <f t="shared" si="23"/>
        <v/>
      </c>
      <c r="AS26" s="50" t="str">
        <f t="shared" si="24"/>
        <v/>
      </c>
      <c r="AT26" s="50" t="str">
        <f t="shared" si="25"/>
        <v/>
      </c>
      <c r="AU26" s="50" t="str">
        <f t="shared" si="26"/>
        <v/>
      </c>
      <c r="AV26" s="50" t="str">
        <f t="shared" si="27"/>
        <v/>
      </c>
      <c r="AW26" s="50" t="str">
        <f t="shared" si="28"/>
        <v/>
      </c>
      <c r="AX26" s="50" t="str">
        <f t="shared" si="29"/>
        <v/>
      </c>
      <c r="AY26" s="50" t="str">
        <f t="shared" si="30"/>
        <v/>
      </c>
      <c r="AZ26" s="50" t="str">
        <f t="shared" si="31"/>
        <v/>
      </c>
      <c r="BA26" s="50" t="str">
        <f t="shared" si="32"/>
        <v/>
      </c>
      <c r="BB26" s="50" t="str">
        <f t="shared" si="33"/>
        <v/>
      </c>
      <c r="BD26" s="131">
        <f t="shared" si="34"/>
        <v>2265</v>
      </c>
    </row>
    <row r="27" spans="1:70" s="50" customFormat="1" ht="24.95" customHeight="1">
      <c r="B27" s="30">
        <f t="shared" si="35"/>
        <v>0.31250000499999986</v>
      </c>
      <c r="C27" s="31" t="s">
        <v>9</v>
      </c>
      <c r="D27" s="39">
        <f t="shared" si="37"/>
        <v>0.35416667499999988</v>
      </c>
      <c r="E27" s="40">
        <f>SUM('Raw data &amp; Hourly Summary'!E113,'Raw data &amp; Hourly Summary'!I113,'Raw data &amp; Hourly Summary'!M113,'Raw data &amp; Hourly Summary'!Q113,'Raw data &amp; Hourly Summary'!U113)</f>
        <v>722</v>
      </c>
      <c r="F27" s="269">
        <f>SUM('Raw data &amp; Hourly Summary'!F113,'Raw data &amp; Hourly Summary'!J113,'Raw data &amp; Hourly Summary'!N113,'Raw data &amp; Hourly Summary'!R113,'Raw data &amp; Hourly Summary'!V113)</f>
        <v>8</v>
      </c>
      <c r="G27" s="41">
        <f>SUM('Raw data &amp; Hourly Summary'!G113,'Raw data &amp; Hourly Summary'!K113,'Raw data &amp; Hourly Summary'!O113,'Raw data &amp; Hourly Summary'!S113,'Raw data &amp; Hourly Summary'!W113)</f>
        <v>24</v>
      </c>
      <c r="H27" s="42">
        <f t="shared" si="7"/>
        <v>754</v>
      </c>
      <c r="I27" s="40">
        <f>SUM('Raw data &amp; Hourly Summary'!Y113,'Raw data &amp; Hourly Summary'!AC113,'Raw data &amp; Hourly Summary'!AG113,'Raw data &amp; Hourly Summary'!AK113,'Raw data &amp; Hourly Summary'!AO113)</f>
        <v>479</v>
      </c>
      <c r="J27" s="269">
        <f>SUM('Raw data &amp; Hourly Summary'!Z113,'Raw data &amp; Hourly Summary'!AD113,'Raw data &amp; Hourly Summary'!AH113,'Raw data &amp; Hourly Summary'!AL113,'Raw data &amp; Hourly Summary'!AP113)</f>
        <v>6</v>
      </c>
      <c r="K27" s="41">
        <f>SUM('Raw data &amp; Hourly Summary'!AA113,'Raw data &amp; Hourly Summary'!AE113,'Raw data &amp; Hourly Summary'!AI113,'Raw data &amp; Hourly Summary'!AM113,'Raw data &amp; Hourly Summary'!AQ113)</f>
        <v>0</v>
      </c>
      <c r="L27" s="42">
        <f t="shared" si="8"/>
        <v>485</v>
      </c>
      <c r="M27" s="40">
        <f>SUM('Raw data &amp; Hourly Summary'!E145,'Raw data &amp; Hourly Summary'!I145,'Raw data &amp; Hourly Summary'!M145,'Raw data &amp; Hourly Summary'!Q145,'Raw data &amp; Hourly Summary'!U145)</f>
        <v>300</v>
      </c>
      <c r="N27" s="269">
        <f>SUM('Raw data &amp; Hourly Summary'!F145,'Raw data &amp; Hourly Summary'!J145,'Raw data &amp; Hourly Summary'!N145,'Raw data &amp; Hourly Summary'!R145,'Raw data &amp; Hourly Summary'!V145)</f>
        <v>8</v>
      </c>
      <c r="O27" s="41">
        <f>SUM('Raw data &amp; Hourly Summary'!G145,'Raw data &amp; Hourly Summary'!K145,'Raw data &amp; Hourly Summary'!O145,'Raw data &amp; Hourly Summary'!S145,'Raw data &amp; Hourly Summary'!W145)</f>
        <v>1</v>
      </c>
      <c r="P27" s="42">
        <f t="shared" si="9"/>
        <v>309</v>
      </c>
      <c r="Q27" s="40">
        <f>SUM('Raw data &amp; Hourly Summary'!Y145,'Raw data &amp; Hourly Summary'!AC145,'Raw data &amp; Hourly Summary'!AG145,'Raw data &amp; Hourly Summary'!AK145,'Raw data &amp; Hourly Summary'!AO145)</f>
        <v>315</v>
      </c>
      <c r="R27" s="269">
        <f>SUM('Raw data &amp; Hourly Summary'!Z145,'Raw data &amp; Hourly Summary'!AD145,'Raw data &amp; Hourly Summary'!AH145,'Raw data &amp; Hourly Summary'!AL145,'Raw data &amp; Hourly Summary'!AP145)</f>
        <v>10</v>
      </c>
      <c r="S27" s="41">
        <f>SUM('Raw data &amp; Hourly Summary'!AA145,'Raw data &amp; Hourly Summary'!AE145,'Raw data &amp; Hourly Summary'!AI145,'Raw data &amp; Hourly Summary'!AM145,'Raw data &amp; Hourly Summary'!AQ145)</f>
        <v>23</v>
      </c>
      <c r="T27" s="42">
        <f t="shared" si="10"/>
        <v>348</v>
      </c>
      <c r="U27" s="40">
        <f>SUM('Raw data &amp; Hourly Summary'!AS145,'Raw data &amp; Hourly Summary'!AW145,'Raw data &amp; Hourly Summary'!BA145,'Raw data &amp; Hourly Summary'!BE145,'Raw data &amp; Hourly Summary'!BI145)</f>
        <v>217</v>
      </c>
      <c r="V27" s="269">
        <f>SUM('Raw data &amp; Hourly Summary'!AT145,'Raw data &amp; Hourly Summary'!AX145,'Raw data &amp; Hourly Summary'!BB145,'Raw data &amp; Hourly Summary'!BF145,'Raw data &amp; Hourly Summary'!BJ145)</f>
        <v>3</v>
      </c>
      <c r="W27" s="41">
        <f>SUM('Raw data &amp; Hourly Summary'!AU145,'Raw data &amp; Hourly Summary'!AY145,'Raw data &amp; Hourly Summary'!BC145,'Raw data &amp; Hourly Summary'!BG145,'Raw data &amp; Hourly Summary'!BK145)</f>
        <v>0</v>
      </c>
      <c r="X27" s="42">
        <f t="shared" si="11"/>
        <v>220</v>
      </c>
      <c r="Y27" s="132">
        <f t="shared" si="36"/>
        <v>2116</v>
      </c>
      <c r="Z27" s="52"/>
      <c r="AA27" s="52"/>
      <c r="AB27" s="52"/>
      <c r="AG27" s="55" t="str">
        <f t="shared" si="12"/>
        <v/>
      </c>
      <c r="AH27" s="50" t="str">
        <f t="shared" si="13"/>
        <v/>
      </c>
      <c r="AI27" s="50" t="str">
        <f t="shared" si="14"/>
        <v/>
      </c>
      <c r="AJ27" s="50" t="str">
        <f t="shared" si="15"/>
        <v/>
      </c>
      <c r="AK27" s="50" t="str">
        <f t="shared" si="16"/>
        <v/>
      </c>
      <c r="AL27" s="50" t="str">
        <f t="shared" si="17"/>
        <v/>
      </c>
      <c r="AM27" s="50" t="str">
        <f t="shared" si="18"/>
        <v/>
      </c>
      <c r="AN27" s="50" t="str">
        <f t="shared" si="19"/>
        <v/>
      </c>
      <c r="AO27" s="50" t="str">
        <f t="shared" si="20"/>
        <v/>
      </c>
      <c r="AP27" s="50" t="str">
        <f t="shared" si="21"/>
        <v/>
      </c>
      <c r="AQ27" s="50" t="str">
        <f t="shared" si="22"/>
        <v/>
      </c>
      <c r="AR27" s="50" t="str">
        <f t="shared" si="23"/>
        <v/>
      </c>
      <c r="AS27" s="50" t="str">
        <f t="shared" si="24"/>
        <v/>
      </c>
      <c r="AT27" s="50" t="str">
        <f t="shared" si="25"/>
        <v/>
      </c>
      <c r="AU27" s="50" t="str">
        <f t="shared" si="26"/>
        <v/>
      </c>
      <c r="AV27" s="50" t="str">
        <f t="shared" si="27"/>
        <v/>
      </c>
      <c r="AW27" s="50" t="str">
        <f t="shared" si="28"/>
        <v/>
      </c>
      <c r="AX27" s="50" t="str">
        <f t="shared" si="29"/>
        <v/>
      </c>
      <c r="AY27" s="50" t="str">
        <f t="shared" si="30"/>
        <v/>
      </c>
      <c r="AZ27" s="50" t="str">
        <f t="shared" si="31"/>
        <v/>
      </c>
      <c r="BA27" s="50" t="str">
        <f t="shared" si="32"/>
        <v/>
      </c>
      <c r="BB27" s="50" t="str">
        <f t="shared" si="33"/>
        <v/>
      </c>
      <c r="BD27" s="131">
        <f t="shared" si="34"/>
        <v>2265</v>
      </c>
    </row>
    <row r="28" spans="1:70" s="50" customFormat="1" ht="24.95" customHeight="1">
      <c r="B28" s="30">
        <f t="shared" si="35"/>
        <v>0.32291667249999984</v>
      </c>
      <c r="C28" s="31" t="s">
        <v>9</v>
      </c>
      <c r="D28" s="39">
        <f t="shared" ref="D28:D33" si="38">SUM(0.04166667)+B28</f>
        <v>0.36458334249999985</v>
      </c>
      <c r="E28" s="40">
        <f>SUM('Raw data &amp; Hourly Summary'!E114,'Raw data &amp; Hourly Summary'!I114,'Raw data &amp; Hourly Summary'!M114,'Raw data &amp; Hourly Summary'!Q114,'Raw data &amp; Hourly Summary'!U114)</f>
        <v>679</v>
      </c>
      <c r="F28" s="269">
        <f>SUM('Raw data &amp; Hourly Summary'!F114,'Raw data &amp; Hourly Summary'!J114,'Raw data &amp; Hourly Summary'!N114,'Raw data &amp; Hourly Summary'!R114,'Raw data &amp; Hourly Summary'!V114)</f>
        <v>8</v>
      </c>
      <c r="G28" s="41">
        <f>SUM('Raw data &amp; Hourly Summary'!G114,'Raw data &amp; Hourly Summary'!K114,'Raw data &amp; Hourly Summary'!O114,'Raw data &amp; Hourly Summary'!S114,'Raw data &amp; Hourly Summary'!W114)</f>
        <v>22</v>
      </c>
      <c r="H28" s="42">
        <f t="shared" ref="H28:H33" si="39">SUM(E28:G28)</f>
        <v>709</v>
      </c>
      <c r="I28" s="40">
        <f>SUM('Raw data &amp; Hourly Summary'!Y114,'Raw data &amp; Hourly Summary'!AC114,'Raw data &amp; Hourly Summary'!AG114,'Raw data &amp; Hourly Summary'!AK114,'Raw data &amp; Hourly Summary'!AO114)</f>
        <v>516</v>
      </c>
      <c r="J28" s="269">
        <f>SUM('Raw data &amp; Hourly Summary'!Z114,'Raw data &amp; Hourly Summary'!AD114,'Raw data &amp; Hourly Summary'!AH114,'Raw data &amp; Hourly Summary'!AL114,'Raw data &amp; Hourly Summary'!AP114)</f>
        <v>6</v>
      </c>
      <c r="K28" s="41">
        <f>SUM('Raw data &amp; Hourly Summary'!AA114,'Raw data &amp; Hourly Summary'!AE114,'Raw data &amp; Hourly Summary'!AI114,'Raw data &amp; Hourly Summary'!AM114,'Raw data &amp; Hourly Summary'!AQ114)</f>
        <v>0</v>
      </c>
      <c r="L28" s="42">
        <f t="shared" ref="L28:L33" si="40">SUM(I28:K28)</f>
        <v>522</v>
      </c>
      <c r="M28" s="40">
        <f>SUM('Raw data &amp; Hourly Summary'!E146,'Raw data &amp; Hourly Summary'!I146,'Raw data &amp; Hourly Summary'!M146,'Raw data &amp; Hourly Summary'!Q146,'Raw data &amp; Hourly Summary'!U146)</f>
        <v>343</v>
      </c>
      <c r="N28" s="269">
        <f>SUM('Raw data &amp; Hourly Summary'!F146,'Raw data &amp; Hourly Summary'!J146,'Raw data &amp; Hourly Summary'!N146,'Raw data &amp; Hourly Summary'!R146,'Raw data &amp; Hourly Summary'!V146)</f>
        <v>7</v>
      </c>
      <c r="O28" s="41">
        <f>SUM('Raw data &amp; Hourly Summary'!G146,'Raw data &amp; Hourly Summary'!K146,'Raw data &amp; Hourly Summary'!O146,'Raw data &amp; Hourly Summary'!S146,'Raw data &amp; Hourly Summary'!W146)</f>
        <v>1</v>
      </c>
      <c r="P28" s="42">
        <f t="shared" ref="P28:P33" si="41">SUM(M28:O28)</f>
        <v>351</v>
      </c>
      <c r="Q28" s="40">
        <f>SUM('Raw data &amp; Hourly Summary'!Y146,'Raw data &amp; Hourly Summary'!AC146,'Raw data &amp; Hourly Summary'!AG146,'Raw data &amp; Hourly Summary'!AK146,'Raw data &amp; Hourly Summary'!AO146)</f>
        <v>369</v>
      </c>
      <c r="R28" s="269">
        <f>SUM('Raw data &amp; Hourly Summary'!Z146,'Raw data &amp; Hourly Summary'!AD146,'Raw data &amp; Hourly Summary'!AH146,'Raw data &amp; Hourly Summary'!AL146,'Raw data &amp; Hourly Summary'!AP146)</f>
        <v>12</v>
      </c>
      <c r="S28" s="41">
        <f>SUM('Raw data &amp; Hourly Summary'!AA146,'Raw data &amp; Hourly Summary'!AE146,'Raw data &amp; Hourly Summary'!AI146,'Raw data &amp; Hourly Summary'!AM146,'Raw data &amp; Hourly Summary'!AQ146)</f>
        <v>24</v>
      </c>
      <c r="T28" s="42">
        <f t="shared" ref="T28:T33" si="42">SUM(Q28:S28)</f>
        <v>405</v>
      </c>
      <c r="U28" s="40">
        <f>SUM('Raw data &amp; Hourly Summary'!AS146,'Raw data &amp; Hourly Summary'!AW146,'Raw data &amp; Hourly Summary'!BA146,'Raw data &amp; Hourly Summary'!BE146,'Raw data &amp; Hourly Summary'!BI146)</f>
        <v>199</v>
      </c>
      <c r="V28" s="269">
        <f>SUM('Raw data &amp; Hourly Summary'!AT146,'Raw data &amp; Hourly Summary'!AX146,'Raw data &amp; Hourly Summary'!BB146,'Raw data &amp; Hourly Summary'!BF146,'Raw data &amp; Hourly Summary'!BJ146)</f>
        <v>2</v>
      </c>
      <c r="W28" s="41">
        <f>SUM('Raw data &amp; Hourly Summary'!AU146,'Raw data &amp; Hourly Summary'!AY146,'Raw data &amp; Hourly Summary'!BC146,'Raw data &amp; Hourly Summary'!BG146,'Raw data &amp; Hourly Summary'!BK146)</f>
        <v>0</v>
      </c>
      <c r="X28" s="42">
        <f t="shared" ref="X28:X33" si="43">SUM(U28:W28)</f>
        <v>201</v>
      </c>
      <c r="Y28" s="132">
        <f t="shared" ref="Y28:Y33" si="44">H28+L28+P28+T28+X28</f>
        <v>2188</v>
      </c>
      <c r="Z28" s="52"/>
      <c r="AA28" s="52"/>
      <c r="AB28" s="52"/>
      <c r="AG28" s="55" t="str">
        <f t="shared" ref="AG28:AG33" si="45">IF($BD28=$Y28,B28,"")</f>
        <v/>
      </c>
      <c r="AH28" s="50" t="str">
        <f t="shared" ref="AH28:AH33" si="46">IF($BD28=$Y28,E28,"")</f>
        <v/>
      </c>
      <c r="AI28" s="50" t="str">
        <f t="shared" si="14"/>
        <v/>
      </c>
      <c r="AJ28" s="50" t="str">
        <f t="shared" si="15"/>
        <v/>
      </c>
      <c r="AK28" s="50" t="str">
        <f t="shared" si="16"/>
        <v/>
      </c>
      <c r="AL28" s="50" t="str">
        <f t="shared" si="17"/>
        <v/>
      </c>
      <c r="AM28" s="50" t="str">
        <f t="shared" si="18"/>
        <v/>
      </c>
      <c r="AN28" s="50" t="str">
        <f t="shared" si="19"/>
        <v/>
      </c>
      <c r="AO28" s="50" t="str">
        <f t="shared" si="20"/>
        <v/>
      </c>
      <c r="AP28" s="50" t="str">
        <f t="shared" si="21"/>
        <v/>
      </c>
      <c r="AQ28" s="50" t="str">
        <f t="shared" si="22"/>
        <v/>
      </c>
      <c r="AR28" s="50" t="str">
        <f t="shared" si="23"/>
        <v/>
      </c>
      <c r="AS28" s="50" t="str">
        <f t="shared" si="24"/>
        <v/>
      </c>
      <c r="AT28" s="50" t="str">
        <f t="shared" si="25"/>
        <v/>
      </c>
      <c r="AU28" s="50" t="str">
        <f t="shared" si="26"/>
        <v/>
      </c>
      <c r="AV28" s="50" t="str">
        <f t="shared" si="27"/>
        <v/>
      </c>
      <c r="AW28" s="50" t="str">
        <f t="shared" si="28"/>
        <v/>
      </c>
      <c r="AX28" s="50" t="str">
        <f t="shared" si="29"/>
        <v/>
      </c>
      <c r="AY28" s="50" t="str">
        <f t="shared" si="30"/>
        <v/>
      </c>
      <c r="AZ28" s="50" t="str">
        <f t="shared" si="31"/>
        <v/>
      </c>
      <c r="BA28" s="50" t="str">
        <f t="shared" si="32"/>
        <v/>
      </c>
      <c r="BB28" s="50" t="str">
        <f t="shared" si="33"/>
        <v/>
      </c>
      <c r="BD28" s="131">
        <f t="shared" si="34"/>
        <v>2265</v>
      </c>
    </row>
    <row r="29" spans="1:70" s="50" customFormat="1" ht="24.95" customHeight="1">
      <c r="B29" s="30">
        <f t="shared" si="35"/>
        <v>0.33333333999999981</v>
      </c>
      <c r="C29" s="31" t="s">
        <v>9</v>
      </c>
      <c r="D29" s="39">
        <f t="shared" si="38"/>
        <v>0.37500000999999983</v>
      </c>
      <c r="E29" s="40">
        <f>SUM('Raw data &amp; Hourly Summary'!E115,'Raw data &amp; Hourly Summary'!I115,'Raw data &amp; Hourly Summary'!M115,'Raw data &amp; Hourly Summary'!Q115,'Raw data &amp; Hourly Summary'!U115)</f>
        <v>660</v>
      </c>
      <c r="F29" s="269">
        <f>SUM('Raw data &amp; Hourly Summary'!F115,'Raw data &amp; Hourly Summary'!J115,'Raw data &amp; Hourly Summary'!N115,'Raw data &amp; Hourly Summary'!R115,'Raw data &amp; Hourly Summary'!V115)</f>
        <v>15</v>
      </c>
      <c r="G29" s="41">
        <f>SUM('Raw data &amp; Hourly Summary'!G115,'Raw data &amp; Hourly Summary'!K115,'Raw data &amp; Hourly Summary'!O115,'Raw data &amp; Hourly Summary'!S115,'Raw data &amp; Hourly Summary'!W115)</f>
        <v>20</v>
      </c>
      <c r="H29" s="42">
        <f t="shared" si="39"/>
        <v>695</v>
      </c>
      <c r="I29" s="40">
        <f>SUM('Raw data &amp; Hourly Summary'!Y115,'Raw data &amp; Hourly Summary'!AC115,'Raw data &amp; Hourly Summary'!AG115,'Raw data &amp; Hourly Summary'!AK115,'Raw data &amp; Hourly Summary'!AO115)</f>
        <v>542</v>
      </c>
      <c r="J29" s="269">
        <f>SUM('Raw data &amp; Hourly Summary'!Z115,'Raw data &amp; Hourly Summary'!AD115,'Raw data &amp; Hourly Summary'!AH115,'Raw data &amp; Hourly Summary'!AL115,'Raw data &amp; Hourly Summary'!AP115)</f>
        <v>7</v>
      </c>
      <c r="K29" s="41">
        <f>SUM('Raw data &amp; Hourly Summary'!AA115,'Raw data &amp; Hourly Summary'!AE115,'Raw data &amp; Hourly Summary'!AI115,'Raw data &amp; Hourly Summary'!AM115,'Raw data &amp; Hourly Summary'!AQ115)</f>
        <v>0</v>
      </c>
      <c r="L29" s="42">
        <f t="shared" si="40"/>
        <v>549</v>
      </c>
      <c r="M29" s="40">
        <f>SUM('Raw data &amp; Hourly Summary'!E147,'Raw data &amp; Hourly Summary'!I147,'Raw data &amp; Hourly Summary'!M147,'Raw data &amp; Hourly Summary'!Q147,'Raw data &amp; Hourly Summary'!U147)</f>
        <v>399</v>
      </c>
      <c r="N29" s="269">
        <f>SUM('Raw data &amp; Hourly Summary'!F147,'Raw data &amp; Hourly Summary'!J147,'Raw data &amp; Hourly Summary'!N147,'Raw data &amp; Hourly Summary'!R147,'Raw data &amp; Hourly Summary'!V147)</f>
        <v>6</v>
      </c>
      <c r="O29" s="41">
        <f>SUM('Raw data &amp; Hourly Summary'!G147,'Raw data &amp; Hourly Summary'!K147,'Raw data &amp; Hourly Summary'!O147,'Raw data &amp; Hourly Summary'!S147,'Raw data &amp; Hourly Summary'!W147)</f>
        <v>1</v>
      </c>
      <c r="P29" s="42">
        <f t="shared" si="41"/>
        <v>406</v>
      </c>
      <c r="Q29" s="40">
        <f>SUM('Raw data &amp; Hourly Summary'!Y147,'Raw data &amp; Hourly Summary'!AC147,'Raw data &amp; Hourly Summary'!AG147,'Raw data &amp; Hourly Summary'!AK147,'Raw data &amp; Hourly Summary'!AO147)</f>
        <v>408</v>
      </c>
      <c r="R29" s="269">
        <f>SUM('Raw data &amp; Hourly Summary'!Z147,'Raw data &amp; Hourly Summary'!AD147,'Raw data &amp; Hourly Summary'!AH147,'Raw data &amp; Hourly Summary'!AL147,'Raw data &amp; Hourly Summary'!AP147)</f>
        <v>11</v>
      </c>
      <c r="S29" s="41">
        <f>SUM('Raw data &amp; Hourly Summary'!AA147,'Raw data &amp; Hourly Summary'!AE147,'Raw data &amp; Hourly Summary'!AI147,'Raw data &amp; Hourly Summary'!AM147,'Raw data &amp; Hourly Summary'!AQ147)</f>
        <v>25</v>
      </c>
      <c r="T29" s="42">
        <f t="shared" si="42"/>
        <v>444</v>
      </c>
      <c r="U29" s="40">
        <f>SUM('Raw data &amp; Hourly Summary'!AS147,'Raw data &amp; Hourly Summary'!AW147,'Raw data &amp; Hourly Summary'!BA147,'Raw data &amp; Hourly Summary'!BE147,'Raw data &amp; Hourly Summary'!BI147)</f>
        <v>169</v>
      </c>
      <c r="V29" s="269">
        <f>SUM('Raw data &amp; Hourly Summary'!AT147,'Raw data &amp; Hourly Summary'!AX147,'Raw data &amp; Hourly Summary'!BB147,'Raw data &amp; Hourly Summary'!BF147,'Raw data &amp; Hourly Summary'!BJ147)</f>
        <v>0</v>
      </c>
      <c r="W29" s="41">
        <f>SUM('Raw data &amp; Hourly Summary'!AU147,'Raw data &amp; Hourly Summary'!AY147,'Raw data &amp; Hourly Summary'!BC147,'Raw data &amp; Hourly Summary'!BG147,'Raw data &amp; Hourly Summary'!BK147)</f>
        <v>0</v>
      </c>
      <c r="X29" s="42">
        <f t="shared" si="43"/>
        <v>169</v>
      </c>
      <c r="Y29" s="132">
        <f t="shared" si="44"/>
        <v>2263</v>
      </c>
      <c r="Z29" s="52"/>
      <c r="AA29" s="52"/>
      <c r="AB29" s="52"/>
      <c r="AG29" s="55" t="str">
        <f t="shared" si="45"/>
        <v/>
      </c>
      <c r="AH29" s="50" t="str">
        <f t="shared" si="46"/>
        <v/>
      </c>
      <c r="AI29" s="50" t="str">
        <f t="shared" si="14"/>
        <v/>
      </c>
      <c r="AJ29" s="50" t="str">
        <f t="shared" si="15"/>
        <v/>
      </c>
      <c r="AK29" s="50" t="str">
        <f t="shared" si="16"/>
        <v/>
      </c>
      <c r="AL29" s="50" t="str">
        <f t="shared" si="17"/>
        <v/>
      </c>
      <c r="AM29" s="50" t="str">
        <f t="shared" si="18"/>
        <v/>
      </c>
      <c r="AN29" s="50" t="str">
        <f t="shared" si="19"/>
        <v/>
      </c>
      <c r="AO29" s="50" t="str">
        <f t="shared" si="20"/>
        <v/>
      </c>
      <c r="AP29" s="50" t="str">
        <f t="shared" si="21"/>
        <v/>
      </c>
      <c r="AQ29" s="50" t="str">
        <f t="shared" si="22"/>
        <v/>
      </c>
      <c r="AR29" s="50" t="str">
        <f t="shared" si="23"/>
        <v/>
      </c>
      <c r="AS29" s="50" t="str">
        <f t="shared" si="24"/>
        <v/>
      </c>
      <c r="AT29" s="50" t="str">
        <f t="shared" si="25"/>
        <v/>
      </c>
      <c r="AU29" s="50" t="str">
        <f t="shared" si="26"/>
        <v/>
      </c>
      <c r="AV29" s="50" t="str">
        <f t="shared" si="27"/>
        <v/>
      </c>
      <c r="AW29" s="50" t="str">
        <f t="shared" si="28"/>
        <v/>
      </c>
      <c r="AX29" s="50" t="str">
        <f t="shared" si="29"/>
        <v/>
      </c>
      <c r="AY29" s="50" t="str">
        <f t="shared" si="30"/>
        <v/>
      </c>
      <c r="AZ29" s="50" t="str">
        <f t="shared" si="31"/>
        <v/>
      </c>
      <c r="BA29" s="50" t="str">
        <f t="shared" si="32"/>
        <v/>
      </c>
      <c r="BB29" s="50" t="str">
        <f t="shared" si="33"/>
        <v/>
      </c>
      <c r="BD29" s="131">
        <f t="shared" si="34"/>
        <v>2265</v>
      </c>
    </row>
    <row r="30" spans="1:70" s="50" customFormat="1" ht="24.95" customHeight="1">
      <c r="B30" s="30">
        <f t="shared" si="35"/>
        <v>0.34375000749999979</v>
      </c>
      <c r="C30" s="31" t="s">
        <v>9</v>
      </c>
      <c r="D30" s="39">
        <f t="shared" si="38"/>
        <v>0.3854166774999998</v>
      </c>
      <c r="E30" s="40">
        <f>SUM('Raw data &amp; Hourly Summary'!E116,'Raw data &amp; Hourly Summary'!I116,'Raw data &amp; Hourly Summary'!M116,'Raw data &amp; Hourly Summary'!Q116,'Raw data &amp; Hourly Summary'!U116)</f>
        <v>667</v>
      </c>
      <c r="F30" s="269">
        <f>SUM('Raw data &amp; Hourly Summary'!F116,'Raw data &amp; Hourly Summary'!J116,'Raw data &amp; Hourly Summary'!N116,'Raw data &amp; Hourly Summary'!R116,'Raw data &amp; Hourly Summary'!V116)</f>
        <v>15</v>
      </c>
      <c r="G30" s="41">
        <f>SUM('Raw data &amp; Hourly Summary'!G116,'Raw data &amp; Hourly Summary'!K116,'Raw data &amp; Hourly Summary'!O116,'Raw data &amp; Hourly Summary'!S116,'Raw data &amp; Hourly Summary'!W116)</f>
        <v>21</v>
      </c>
      <c r="H30" s="42">
        <f t="shared" si="39"/>
        <v>703</v>
      </c>
      <c r="I30" s="40">
        <f>SUM('Raw data &amp; Hourly Summary'!Y116,'Raw data &amp; Hourly Summary'!AC116,'Raw data &amp; Hourly Summary'!AG116,'Raw data &amp; Hourly Summary'!AK116,'Raw data &amp; Hourly Summary'!AO116)</f>
        <v>505</v>
      </c>
      <c r="J30" s="269">
        <f>SUM('Raw data &amp; Hourly Summary'!Z116,'Raw data &amp; Hourly Summary'!AD116,'Raw data &amp; Hourly Summary'!AH116,'Raw data &amp; Hourly Summary'!AL116,'Raw data &amp; Hourly Summary'!AP116)</f>
        <v>8</v>
      </c>
      <c r="K30" s="41">
        <f>SUM('Raw data &amp; Hourly Summary'!AA116,'Raw data &amp; Hourly Summary'!AE116,'Raw data &amp; Hourly Summary'!AI116,'Raw data &amp; Hourly Summary'!AM116,'Raw data &amp; Hourly Summary'!AQ116)</f>
        <v>0</v>
      </c>
      <c r="L30" s="42">
        <f t="shared" si="40"/>
        <v>513</v>
      </c>
      <c r="M30" s="40">
        <f>SUM('Raw data &amp; Hourly Summary'!E148,'Raw data &amp; Hourly Summary'!I148,'Raw data &amp; Hourly Summary'!M148,'Raw data &amp; Hourly Summary'!Q148,'Raw data &amp; Hourly Summary'!U148)</f>
        <v>422</v>
      </c>
      <c r="N30" s="269">
        <f>SUM('Raw data &amp; Hourly Summary'!F148,'Raw data &amp; Hourly Summary'!J148,'Raw data &amp; Hourly Summary'!N148,'Raw data &amp; Hourly Summary'!R148,'Raw data &amp; Hourly Summary'!V148)</f>
        <v>10</v>
      </c>
      <c r="O30" s="41">
        <f>SUM('Raw data &amp; Hourly Summary'!G148,'Raw data &amp; Hourly Summary'!K148,'Raw data &amp; Hourly Summary'!O148,'Raw data &amp; Hourly Summary'!S148,'Raw data &amp; Hourly Summary'!W148)</f>
        <v>0</v>
      </c>
      <c r="P30" s="42">
        <f t="shared" si="41"/>
        <v>432</v>
      </c>
      <c r="Q30" s="40">
        <f>SUM('Raw data &amp; Hourly Summary'!Y148,'Raw data &amp; Hourly Summary'!AC148,'Raw data &amp; Hourly Summary'!AG148,'Raw data &amp; Hourly Summary'!AK148,'Raw data &amp; Hourly Summary'!AO148)</f>
        <v>451</v>
      </c>
      <c r="R30" s="269">
        <f>SUM('Raw data &amp; Hourly Summary'!Z148,'Raw data &amp; Hourly Summary'!AD148,'Raw data &amp; Hourly Summary'!AH148,'Raw data &amp; Hourly Summary'!AL148,'Raw data &amp; Hourly Summary'!AP148)</f>
        <v>12</v>
      </c>
      <c r="S30" s="41">
        <f>SUM('Raw data &amp; Hourly Summary'!AA148,'Raw data &amp; Hourly Summary'!AE148,'Raw data &amp; Hourly Summary'!AI148,'Raw data &amp; Hourly Summary'!AM148,'Raw data &amp; Hourly Summary'!AQ148)</f>
        <v>29</v>
      </c>
      <c r="T30" s="42">
        <f t="shared" si="42"/>
        <v>492</v>
      </c>
      <c r="U30" s="40">
        <f>SUM('Raw data &amp; Hourly Summary'!AS148,'Raw data &amp; Hourly Summary'!AW148,'Raw data &amp; Hourly Summary'!BA148,'Raw data &amp; Hourly Summary'!BE148,'Raw data &amp; Hourly Summary'!BI148)</f>
        <v>123</v>
      </c>
      <c r="V30" s="269">
        <f>SUM('Raw data &amp; Hourly Summary'!AT148,'Raw data &amp; Hourly Summary'!AX148,'Raw data &amp; Hourly Summary'!BB148,'Raw data &amp; Hourly Summary'!BF148,'Raw data &amp; Hourly Summary'!BJ148)</f>
        <v>2</v>
      </c>
      <c r="W30" s="41">
        <f>SUM('Raw data &amp; Hourly Summary'!AU148,'Raw data &amp; Hourly Summary'!AY148,'Raw data &amp; Hourly Summary'!BC148,'Raw data &amp; Hourly Summary'!BG148,'Raw data &amp; Hourly Summary'!BK148)</f>
        <v>0</v>
      </c>
      <c r="X30" s="42">
        <f t="shared" si="43"/>
        <v>125</v>
      </c>
      <c r="Y30" s="132">
        <f t="shared" si="44"/>
        <v>2265</v>
      </c>
      <c r="Z30" s="52"/>
      <c r="AA30" s="52"/>
      <c r="AB30" s="52"/>
      <c r="AG30" s="55">
        <f t="shared" si="45"/>
        <v>0.34375000749999979</v>
      </c>
      <c r="AH30" s="50">
        <f t="shared" si="46"/>
        <v>667</v>
      </c>
      <c r="AI30" s="50">
        <f t="shared" si="14"/>
        <v>15</v>
      </c>
      <c r="AJ30" s="50">
        <f t="shared" si="15"/>
        <v>21</v>
      </c>
      <c r="AK30" s="50">
        <f t="shared" si="16"/>
        <v>703</v>
      </c>
      <c r="AL30" s="50">
        <f t="shared" si="17"/>
        <v>505</v>
      </c>
      <c r="AM30" s="50">
        <f t="shared" si="18"/>
        <v>8</v>
      </c>
      <c r="AN30" s="50">
        <f t="shared" si="19"/>
        <v>0</v>
      </c>
      <c r="AO30" s="50">
        <f t="shared" si="20"/>
        <v>513</v>
      </c>
      <c r="AP30" s="50">
        <f t="shared" si="21"/>
        <v>422</v>
      </c>
      <c r="AQ30" s="50">
        <f t="shared" si="22"/>
        <v>10</v>
      </c>
      <c r="AR30" s="50">
        <f t="shared" si="23"/>
        <v>0</v>
      </c>
      <c r="AS30" s="50">
        <f t="shared" si="24"/>
        <v>432</v>
      </c>
      <c r="AT30" s="50">
        <f t="shared" si="25"/>
        <v>451</v>
      </c>
      <c r="AU30" s="50">
        <f t="shared" si="26"/>
        <v>12</v>
      </c>
      <c r="AV30" s="50">
        <f t="shared" si="27"/>
        <v>29</v>
      </c>
      <c r="AW30" s="50">
        <f t="shared" si="28"/>
        <v>492</v>
      </c>
      <c r="AX30" s="50">
        <f t="shared" si="29"/>
        <v>123</v>
      </c>
      <c r="AY30" s="50">
        <f t="shared" si="30"/>
        <v>2</v>
      </c>
      <c r="AZ30" s="50">
        <f t="shared" si="31"/>
        <v>0</v>
      </c>
      <c r="BA30" s="50">
        <f t="shared" si="32"/>
        <v>125</v>
      </c>
      <c r="BB30" s="50">
        <f t="shared" si="33"/>
        <v>2265</v>
      </c>
      <c r="BD30" s="131">
        <f t="shared" si="34"/>
        <v>2265</v>
      </c>
    </row>
    <row r="31" spans="1:70" s="50" customFormat="1" ht="24.95" customHeight="1">
      <c r="B31" s="30">
        <f t="shared" si="35"/>
        <v>0.35416667499999976</v>
      </c>
      <c r="C31" s="31" t="s">
        <v>9</v>
      </c>
      <c r="D31" s="39">
        <f t="shared" si="38"/>
        <v>0.39583334499999978</v>
      </c>
      <c r="E31" s="40">
        <f>SUM('Raw data &amp; Hourly Summary'!E117,'Raw data &amp; Hourly Summary'!I117,'Raw data &amp; Hourly Summary'!M117,'Raw data &amp; Hourly Summary'!Q117,'Raw data &amp; Hourly Summary'!U117)</f>
        <v>647</v>
      </c>
      <c r="F31" s="269">
        <f>SUM('Raw data &amp; Hourly Summary'!F117,'Raw data &amp; Hourly Summary'!J117,'Raw data &amp; Hourly Summary'!N117,'Raw data &amp; Hourly Summary'!R117,'Raw data &amp; Hourly Summary'!V117)</f>
        <v>15</v>
      </c>
      <c r="G31" s="41">
        <f>SUM('Raw data &amp; Hourly Summary'!G117,'Raw data &amp; Hourly Summary'!K117,'Raw data &amp; Hourly Summary'!O117,'Raw data &amp; Hourly Summary'!S117,'Raw data &amp; Hourly Summary'!W117)</f>
        <v>20</v>
      </c>
      <c r="H31" s="42">
        <f t="shared" si="39"/>
        <v>682</v>
      </c>
      <c r="I31" s="40">
        <f>SUM('Raw data &amp; Hourly Summary'!Y117,'Raw data &amp; Hourly Summary'!AC117,'Raw data &amp; Hourly Summary'!AG117,'Raw data &amp; Hourly Summary'!AK117,'Raw data &amp; Hourly Summary'!AO117)</f>
        <v>424</v>
      </c>
      <c r="J31" s="269">
        <f>SUM('Raw data &amp; Hourly Summary'!Z117,'Raw data &amp; Hourly Summary'!AD117,'Raw data &amp; Hourly Summary'!AH117,'Raw data &amp; Hourly Summary'!AL117,'Raw data &amp; Hourly Summary'!AP117)</f>
        <v>8</v>
      </c>
      <c r="K31" s="41">
        <f>SUM('Raw data &amp; Hourly Summary'!AA117,'Raw data &amp; Hourly Summary'!AE117,'Raw data &amp; Hourly Summary'!AI117,'Raw data &amp; Hourly Summary'!AM117,'Raw data &amp; Hourly Summary'!AQ117)</f>
        <v>0</v>
      </c>
      <c r="L31" s="42">
        <f t="shared" si="40"/>
        <v>432</v>
      </c>
      <c r="M31" s="40">
        <f>SUM('Raw data &amp; Hourly Summary'!E149,'Raw data &amp; Hourly Summary'!I149,'Raw data &amp; Hourly Summary'!M149,'Raw data &amp; Hourly Summary'!Q149,'Raw data &amp; Hourly Summary'!U149)</f>
        <v>414</v>
      </c>
      <c r="N31" s="269">
        <f>SUM('Raw data &amp; Hourly Summary'!F149,'Raw data &amp; Hourly Summary'!J149,'Raw data &amp; Hourly Summary'!N149,'Raw data &amp; Hourly Summary'!R149,'Raw data &amp; Hourly Summary'!V149)</f>
        <v>11</v>
      </c>
      <c r="O31" s="41">
        <f>SUM('Raw data &amp; Hourly Summary'!G149,'Raw data &amp; Hourly Summary'!K149,'Raw data &amp; Hourly Summary'!O149,'Raw data &amp; Hourly Summary'!S149,'Raw data &amp; Hourly Summary'!W149)</f>
        <v>0</v>
      </c>
      <c r="P31" s="42">
        <f t="shared" si="41"/>
        <v>425</v>
      </c>
      <c r="Q31" s="40">
        <f>SUM('Raw data &amp; Hourly Summary'!Y149,'Raw data &amp; Hourly Summary'!AC149,'Raw data &amp; Hourly Summary'!AG149,'Raw data &amp; Hourly Summary'!AK149,'Raw data &amp; Hourly Summary'!AO149)</f>
        <v>459</v>
      </c>
      <c r="R31" s="269">
        <f>SUM('Raw data &amp; Hourly Summary'!Z149,'Raw data &amp; Hourly Summary'!AD149,'Raw data &amp; Hourly Summary'!AH149,'Raw data &amp; Hourly Summary'!AL149,'Raw data &amp; Hourly Summary'!AP149)</f>
        <v>16</v>
      </c>
      <c r="S31" s="41">
        <f>SUM('Raw data &amp; Hourly Summary'!AA149,'Raw data &amp; Hourly Summary'!AE149,'Raw data &amp; Hourly Summary'!AI149,'Raw data &amp; Hourly Summary'!AM149,'Raw data &amp; Hourly Summary'!AQ149)</f>
        <v>28</v>
      </c>
      <c r="T31" s="42">
        <f t="shared" si="42"/>
        <v>503</v>
      </c>
      <c r="U31" s="40">
        <f>SUM('Raw data &amp; Hourly Summary'!AS149,'Raw data &amp; Hourly Summary'!AW149,'Raw data &amp; Hourly Summary'!BA149,'Raw data &amp; Hourly Summary'!BE149,'Raw data &amp; Hourly Summary'!BI149)</f>
        <v>87</v>
      </c>
      <c r="V31" s="269">
        <f>SUM('Raw data &amp; Hourly Summary'!AT149,'Raw data &amp; Hourly Summary'!AX149,'Raw data &amp; Hourly Summary'!BB149,'Raw data &amp; Hourly Summary'!BF149,'Raw data &amp; Hourly Summary'!BJ149)</f>
        <v>2</v>
      </c>
      <c r="W31" s="41">
        <f>SUM('Raw data &amp; Hourly Summary'!AU149,'Raw data &amp; Hourly Summary'!AY149,'Raw data &amp; Hourly Summary'!BC149,'Raw data &amp; Hourly Summary'!BG149,'Raw data &amp; Hourly Summary'!BK149)</f>
        <v>0</v>
      </c>
      <c r="X31" s="42">
        <f t="shared" si="43"/>
        <v>89</v>
      </c>
      <c r="Y31" s="132">
        <f t="shared" si="44"/>
        <v>2131</v>
      </c>
      <c r="Z31" s="52"/>
      <c r="AA31" s="52"/>
      <c r="AB31" s="52"/>
      <c r="AG31" s="55" t="str">
        <f t="shared" si="45"/>
        <v/>
      </c>
      <c r="AH31" s="50" t="str">
        <f t="shared" si="46"/>
        <v/>
      </c>
      <c r="AI31" s="50" t="str">
        <f t="shared" si="14"/>
        <v/>
      </c>
      <c r="AJ31" s="50" t="str">
        <f t="shared" si="15"/>
        <v/>
      </c>
      <c r="AK31" s="50" t="str">
        <f t="shared" si="16"/>
        <v/>
      </c>
      <c r="AL31" s="50" t="str">
        <f t="shared" si="17"/>
        <v/>
      </c>
      <c r="AM31" s="50" t="str">
        <f t="shared" si="18"/>
        <v/>
      </c>
      <c r="AN31" s="50" t="str">
        <f t="shared" si="19"/>
        <v/>
      </c>
      <c r="AO31" s="50" t="str">
        <f t="shared" si="20"/>
        <v/>
      </c>
      <c r="AP31" s="50" t="str">
        <f t="shared" si="21"/>
        <v/>
      </c>
      <c r="AQ31" s="50" t="str">
        <f t="shared" si="22"/>
        <v/>
      </c>
      <c r="AR31" s="50" t="str">
        <f t="shared" si="23"/>
        <v/>
      </c>
      <c r="AS31" s="50" t="str">
        <f t="shared" si="24"/>
        <v/>
      </c>
      <c r="AT31" s="50" t="str">
        <f t="shared" si="25"/>
        <v/>
      </c>
      <c r="AU31" s="50" t="str">
        <f t="shared" si="26"/>
        <v/>
      </c>
      <c r="AV31" s="50" t="str">
        <f t="shared" si="27"/>
        <v/>
      </c>
      <c r="AW31" s="50" t="str">
        <f t="shared" si="28"/>
        <v/>
      </c>
      <c r="AX31" s="50" t="str">
        <f t="shared" si="29"/>
        <v/>
      </c>
      <c r="AY31" s="50" t="str">
        <f t="shared" si="30"/>
        <v/>
      </c>
      <c r="AZ31" s="50" t="str">
        <f t="shared" si="31"/>
        <v/>
      </c>
      <c r="BA31" s="50" t="str">
        <f t="shared" si="32"/>
        <v/>
      </c>
      <c r="BB31" s="50" t="str">
        <f t="shared" si="33"/>
        <v/>
      </c>
      <c r="BD31" s="131">
        <f t="shared" si="34"/>
        <v>2265</v>
      </c>
    </row>
    <row r="32" spans="1:70" s="50" customFormat="1" ht="24.95" customHeight="1">
      <c r="B32" s="30">
        <f t="shared" si="35"/>
        <v>0.36458334249999974</v>
      </c>
      <c r="C32" s="31" t="s">
        <v>9</v>
      </c>
      <c r="D32" s="39">
        <f t="shared" si="38"/>
        <v>0.40625001249999976</v>
      </c>
      <c r="E32" s="40">
        <f>SUM('Raw data &amp; Hourly Summary'!E118,'Raw data &amp; Hourly Summary'!I118,'Raw data &amp; Hourly Summary'!M118,'Raw data &amp; Hourly Summary'!Q118,'Raw data &amp; Hourly Summary'!U118)</f>
        <v>641</v>
      </c>
      <c r="F32" s="269">
        <f>SUM('Raw data &amp; Hourly Summary'!F118,'Raw data &amp; Hourly Summary'!J118,'Raw data &amp; Hourly Summary'!N118,'Raw data &amp; Hourly Summary'!R118,'Raw data &amp; Hourly Summary'!V118)</f>
        <v>16</v>
      </c>
      <c r="G32" s="41">
        <f>SUM('Raw data &amp; Hourly Summary'!G118,'Raw data &amp; Hourly Summary'!K118,'Raw data &amp; Hourly Summary'!O118,'Raw data &amp; Hourly Summary'!S118,'Raw data &amp; Hourly Summary'!W118)</f>
        <v>19</v>
      </c>
      <c r="H32" s="42">
        <f t="shared" si="39"/>
        <v>676</v>
      </c>
      <c r="I32" s="40">
        <f>SUM('Raw data &amp; Hourly Summary'!Y118,'Raw data &amp; Hourly Summary'!AC118,'Raw data &amp; Hourly Summary'!AG118,'Raw data &amp; Hourly Summary'!AK118,'Raw data &amp; Hourly Summary'!AO118)</f>
        <v>360</v>
      </c>
      <c r="J32" s="269">
        <f>SUM('Raw data &amp; Hourly Summary'!Z118,'Raw data &amp; Hourly Summary'!AD118,'Raw data &amp; Hourly Summary'!AH118,'Raw data &amp; Hourly Summary'!AL118,'Raw data &amp; Hourly Summary'!AP118)</f>
        <v>12</v>
      </c>
      <c r="K32" s="41">
        <f>SUM('Raw data &amp; Hourly Summary'!AA118,'Raw data &amp; Hourly Summary'!AE118,'Raw data &amp; Hourly Summary'!AI118,'Raw data &amp; Hourly Summary'!AM118,'Raw data &amp; Hourly Summary'!AQ118)</f>
        <v>0</v>
      </c>
      <c r="L32" s="42">
        <f t="shared" si="40"/>
        <v>372</v>
      </c>
      <c r="M32" s="40">
        <f>SUM('Raw data &amp; Hourly Summary'!E150,'Raw data &amp; Hourly Summary'!I150,'Raw data &amp; Hourly Summary'!M150,'Raw data &amp; Hourly Summary'!Q150,'Raw data &amp; Hourly Summary'!U150)</f>
        <v>410</v>
      </c>
      <c r="N32" s="269">
        <f>SUM('Raw data &amp; Hourly Summary'!F150,'Raw data &amp; Hourly Summary'!J150,'Raw data &amp; Hourly Summary'!N150,'Raw data &amp; Hourly Summary'!R150,'Raw data &amp; Hourly Summary'!V150)</f>
        <v>9</v>
      </c>
      <c r="O32" s="41">
        <f>SUM('Raw data &amp; Hourly Summary'!G150,'Raw data &amp; Hourly Summary'!K150,'Raw data &amp; Hourly Summary'!O150,'Raw data &amp; Hourly Summary'!S150,'Raw data &amp; Hourly Summary'!W150)</f>
        <v>0</v>
      </c>
      <c r="P32" s="42">
        <f t="shared" si="41"/>
        <v>419</v>
      </c>
      <c r="Q32" s="40">
        <f>SUM('Raw data &amp; Hourly Summary'!Y150,'Raw data &amp; Hourly Summary'!AC150,'Raw data &amp; Hourly Summary'!AG150,'Raw data &amp; Hourly Summary'!AK150,'Raw data &amp; Hourly Summary'!AO150)</f>
        <v>449</v>
      </c>
      <c r="R32" s="269">
        <f>SUM('Raw data &amp; Hourly Summary'!Z150,'Raw data &amp; Hourly Summary'!AD150,'Raw data &amp; Hourly Summary'!AH150,'Raw data &amp; Hourly Summary'!AL150,'Raw data &amp; Hourly Summary'!AP150)</f>
        <v>16</v>
      </c>
      <c r="S32" s="41">
        <f>SUM('Raw data &amp; Hourly Summary'!AA150,'Raw data &amp; Hourly Summary'!AE150,'Raw data &amp; Hourly Summary'!AI150,'Raw data &amp; Hourly Summary'!AM150,'Raw data &amp; Hourly Summary'!AQ150)</f>
        <v>36</v>
      </c>
      <c r="T32" s="42">
        <f t="shared" si="42"/>
        <v>501</v>
      </c>
      <c r="U32" s="40">
        <f>SUM('Raw data &amp; Hourly Summary'!AS150,'Raw data &amp; Hourly Summary'!AW150,'Raw data &amp; Hourly Summary'!BA150,'Raw data &amp; Hourly Summary'!BE150,'Raw data &amp; Hourly Summary'!BI150)</f>
        <v>67</v>
      </c>
      <c r="V32" s="269">
        <f>SUM('Raw data &amp; Hourly Summary'!AT150,'Raw data &amp; Hourly Summary'!AX150,'Raw data &amp; Hourly Summary'!BB150,'Raw data &amp; Hourly Summary'!BF150,'Raw data &amp; Hourly Summary'!BJ150)</f>
        <v>2</v>
      </c>
      <c r="W32" s="41">
        <f>SUM('Raw data &amp; Hourly Summary'!AU150,'Raw data &amp; Hourly Summary'!AY150,'Raw data &amp; Hourly Summary'!BC150,'Raw data &amp; Hourly Summary'!BG150,'Raw data &amp; Hourly Summary'!BK150)</f>
        <v>0</v>
      </c>
      <c r="X32" s="42">
        <f t="shared" si="43"/>
        <v>69</v>
      </c>
      <c r="Y32" s="132">
        <f t="shared" si="44"/>
        <v>2037</v>
      </c>
      <c r="Z32" s="52"/>
      <c r="AA32" s="52"/>
      <c r="AB32" s="52"/>
      <c r="AG32" s="55" t="str">
        <f t="shared" si="45"/>
        <v/>
      </c>
      <c r="AH32" s="50" t="str">
        <f t="shared" si="46"/>
        <v/>
      </c>
      <c r="AI32" s="50" t="str">
        <f t="shared" si="14"/>
        <v/>
      </c>
      <c r="AJ32" s="50" t="str">
        <f t="shared" si="15"/>
        <v/>
      </c>
      <c r="AK32" s="50" t="str">
        <f t="shared" si="16"/>
        <v/>
      </c>
      <c r="AL32" s="50" t="str">
        <f t="shared" si="17"/>
        <v/>
      </c>
      <c r="AM32" s="50" t="str">
        <f t="shared" si="18"/>
        <v/>
      </c>
      <c r="AN32" s="50" t="str">
        <f t="shared" si="19"/>
        <v/>
      </c>
      <c r="AO32" s="50" t="str">
        <f t="shared" si="20"/>
        <v/>
      </c>
      <c r="AP32" s="50" t="str">
        <f t="shared" si="21"/>
        <v/>
      </c>
      <c r="AQ32" s="50" t="str">
        <f t="shared" si="22"/>
        <v/>
      </c>
      <c r="AR32" s="50" t="str">
        <f t="shared" si="23"/>
        <v/>
      </c>
      <c r="AS32" s="50" t="str">
        <f t="shared" si="24"/>
        <v/>
      </c>
      <c r="AT32" s="50" t="str">
        <f t="shared" si="25"/>
        <v/>
      </c>
      <c r="AU32" s="50" t="str">
        <f t="shared" si="26"/>
        <v/>
      </c>
      <c r="AV32" s="50" t="str">
        <f t="shared" si="27"/>
        <v/>
      </c>
      <c r="AW32" s="50" t="str">
        <f t="shared" si="28"/>
        <v/>
      </c>
      <c r="AX32" s="50" t="str">
        <f t="shared" si="29"/>
        <v/>
      </c>
      <c r="AY32" s="50" t="str">
        <f t="shared" si="30"/>
        <v/>
      </c>
      <c r="AZ32" s="50" t="str">
        <f t="shared" si="31"/>
        <v/>
      </c>
      <c r="BA32" s="50" t="str">
        <f t="shared" si="32"/>
        <v/>
      </c>
      <c r="BB32" s="50" t="str">
        <f t="shared" si="33"/>
        <v/>
      </c>
      <c r="BD32" s="131">
        <f t="shared" si="34"/>
        <v>2265</v>
      </c>
    </row>
    <row r="33" spans="2:57" s="50" customFormat="1" ht="24.95" customHeight="1" thickBot="1">
      <c r="B33" s="30">
        <f t="shared" si="35"/>
        <v>0.37500000999999972</v>
      </c>
      <c r="C33" s="31" t="s">
        <v>9</v>
      </c>
      <c r="D33" s="39">
        <f t="shared" si="38"/>
        <v>0.41666667999999973</v>
      </c>
      <c r="E33" s="40">
        <f>SUM('Raw data &amp; Hourly Summary'!E119,'Raw data &amp; Hourly Summary'!I119,'Raw data &amp; Hourly Summary'!M119,'Raw data &amp; Hourly Summary'!Q119,'Raw data &amp; Hourly Summary'!U119)</f>
        <v>615</v>
      </c>
      <c r="F33" s="269">
        <f>SUM('Raw data &amp; Hourly Summary'!F119,'Raw data &amp; Hourly Summary'!J119,'Raw data &amp; Hourly Summary'!N119,'Raw data &amp; Hourly Summary'!R119,'Raw data &amp; Hourly Summary'!V119)</f>
        <v>12</v>
      </c>
      <c r="G33" s="41">
        <f>SUM('Raw data &amp; Hourly Summary'!G119,'Raw data &amp; Hourly Summary'!K119,'Raw data &amp; Hourly Summary'!O119,'Raw data &amp; Hourly Summary'!S119,'Raw data &amp; Hourly Summary'!W119)</f>
        <v>18</v>
      </c>
      <c r="H33" s="42">
        <f t="shared" si="39"/>
        <v>645</v>
      </c>
      <c r="I33" s="40">
        <f>SUM('Raw data &amp; Hourly Summary'!Y119,'Raw data &amp; Hourly Summary'!AC119,'Raw data &amp; Hourly Summary'!AG119,'Raw data &amp; Hourly Summary'!AK119,'Raw data &amp; Hourly Summary'!AO119)</f>
        <v>297</v>
      </c>
      <c r="J33" s="269">
        <f>SUM('Raw data &amp; Hourly Summary'!Z119,'Raw data &amp; Hourly Summary'!AD119,'Raw data &amp; Hourly Summary'!AH119,'Raw data &amp; Hourly Summary'!AL119,'Raw data &amp; Hourly Summary'!AP119)</f>
        <v>12</v>
      </c>
      <c r="K33" s="41">
        <f>SUM('Raw data &amp; Hourly Summary'!AA119,'Raw data &amp; Hourly Summary'!AE119,'Raw data &amp; Hourly Summary'!AI119,'Raw data &amp; Hourly Summary'!AM119,'Raw data &amp; Hourly Summary'!AQ119)</f>
        <v>0</v>
      </c>
      <c r="L33" s="42">
        <f t="shared" si="40"/>
        <v>309</v>
      </c>
      <c r="M33" s="40">
        <f>SUM('Raw data &amp; Hourly Summary'!E151,'Raw data &amp; Hourly Summary'!I151,'Raw data &amp; Hourly Summary'!M151,'Raw data &amp; Hourly Summary'!Q151,'Raw data &amp; Hourly Summary'!U151)</f>
        <v>377</v>
      </c>
      <c r="N33" s="269">
        <f>SUM('Raw data &amp; Hourly Summary'!F151,'Raw data &amp; Hourly Summary'!J151,'Raw data &amp; Hourly Summary'!N151,'Raw data &amp; Hourly Summary'!R151,'Raw data &amp; Hourly Summary'!V151)</f>
        <v>15</v>
      </c>
      <c r="O33" s="41">
        <f>SUM('Raw data &amp; Hourly Summary'!G151,'Raw data &amp; Hourly Summary'!K151,'Raw data &amp; Hourly Summary'!O151,'Raw data &amp; Hourly Summary'!S151,'Raw data &amp; Hourly Summary'!W151)</f>
        <v>0</v>
      </c>
      <c r="P33" s="42">
        <f t="shared" si="41"/>
        <v>392</v>
      </c>
      <c r="Q33" s="40">
        <f>SUM('Raw data &amp; Hourly Summary'!Y151,'Raw data &amp; Hourly Summary'!AC151,'Raw data &amp; Hourly Summary'!AG151,'Raw data &amp; Hourly Summary'!AK151,'Raw data &amp; Hourly Summary'!AO151)</f>
        <v>427</v>
      </c>
      <c r="R33" s="269">
        <f>SUM('Raw data &amp; Hourly Summary'!Z151,'Raw data &amp; Hourly Summary'!AD151,'Raw data &amp; Hourly Summary'!AH151,'Raw data &amp; Hourly Summary'!AL151,'Raw data &amp; Hourly Summary'!AP151)</f>
        <v>13</v>
      </c>
      <c r="S33" s="41">
        <f>SUM('Raw data &amp; Hourly Summary'!AA151,'Raw data &amp; Hourly Summary'!AE151,'Raw data &amp; Hourly Summary'!AI151,'Raw data &amp; Hourly Summary'!AM151,'Raw data &amp; Hourly Summary'!AQ151)</f>
        <v>32</v>
      </c>
      <c r="T33" s="42">
        <f t="shared" si="42"/>
        <v>472</v>
      </c>
      <c r="U33" s="40">
        <f>SUM('Raw data &amp; Hourly Summary'!AS151,'Raw data &amp; Hourly Summary'!AW151,'Raw data &amp; Hourly Summary'!BA151,'Raw data &amp; Hourly Summary'!BE151,'Raw data &amp; Hourly Summary'!BI151)</f>
        <v>58</v>
      </c>
      <c r="V33" s="269">
        <f>SUM('Raw data &amp; Hourly Summary'!AT151,'Raw data &amp; Hourly Summary'!AX151,'Raw data &amp; Hourly Summary'!BB151,'Raw data &amp; Hourly Summary'!BF151,'Raw data &amp; Hourly Summary'!BJ151)</f>
        <v>4</v>
      </c>
      <c r="W33" s="41">
        <f>SUM('Raw data &amp; Hourly Summary'!AU151,'Raw data &amp; Hourly Summary'!AY151,'Raw data &amp; Hourly Summary'!BC151,'Raw data &amp; Hourly Summary'!BG151,'Raw data &amp; Hourly Summary'!BK151)</f>
        <v>0</v>
      </c>
      <c r="X33" s="42">
        <f t="shared" si="43"/>
        <v>62</v>
      </c>
      <c r="Y33" s="132">
        <f t="shared" si="44"/>
        <v>1880</v>
      </c>
      <c r="Z33" s="52"/>
      <c r="AA33" s="52"/>
      <c r="AB33" s="52"/>
      <c r="AG33" s="55" t="str">
        <f t="shared" si="45"/>
        <v/>
      </c>
      <c r="AH33" s="50" t="str">
        <f t="shared" si="46"/>
        <v/>
      </c>
      <c r="AI33" s="50" t="str">
        <f t="shared" si="14"/>
        <v/>
      </c>
      <c r="AJ33" s="50" t="str">
        <f t="shared" si="15"/>
        <v/>
      </c>
      <c r="AK33" s="50" t="str">
        <f t="shared" si="16"/>
        <v/>
      </c>
      <c r="AL33" s="50" t="str">
        <f t="shared" si="17"/>
        <v/>
      </c>
      <c r="AM33" s="50" t="str">
        <f t="shared" si="18"/>
        <v/>
      </c>
      <c r="AN33" s="50" t="str">
        <f t="shared" si="19"/>
        <v/>
      </c>
      <c r="AO33" s="50" t="str">
        <f t="shared" si="20"/>
        <v/>
      </c>
      <c r="AP33" s="50" t="str">
        <f t="shared" si="21"/>
        <v/>
      </c>
      <c r="AQ33" s="50" t="str">
        <f t="shared" si="22"/>
        <v/>
      </c>
      <c r="AR33" s="50" t="str">
        <f t="shared" si="23"/>
        <v/>
      </c>
      <c r="AS33" s="50" t="str">
        <f t="shared" si="24"/>
        <v/>
      </c>
      <c r="AT33" s="50" t="str">
        <f t="shared" si="25"/>
        <v/>
      </c>
      <c r="AU33" s="50" t="str">
        <f t="shared" si="26"/>
        <v/>
      </c>
      <c r="AV33" s="50" t="str">
        <f t="shared" si="27"/>
        <v/>
      </c>
      <c r="AW33" s="50" t="str">
        <f t="shared" si="28"/>
        <v/>
      </c>
      <c r="AX33" s="50" t="str">
        <f t="shared" si="29"/>
        <v/>
      </c>
      <c r="AY33" s="50" t="str">
        <f t="shared" si="30"/>
        <v/>
      </c>
      <c r="AZ33" s="50" t="str">
        <f t="shared" si="31"/>
        <v/>
      </c>
      <c r="BA33" s="50" t="str">
        <f t="shared" si="32"/>
        <v/>
      </c>
      <c r="BB33" s="50" t="str">
        <f t="shared" si="33"/>
        <v/>
      </c>
      <c r="BD33" s="131">
        <f>AI17</f>
        <v>2265</v>
      </c>
    </row>
    <row r="34" spans="2:57" s="50" customFormat="1" ht="29.25" customHeight="1" thickBot="1">
      <c r="B34" s="405" t="str">
        <f>'Raw data &amp; Hourly Summary'!B34:D34</f>
        <v>AM Totals</v>
      </c>
      <c r="C34" s="370"/>
      <c r="D34" s="371"/>
      <c r="E34" s="271">
        <f>SUM('Raw data &amp; Hourly Summary'!E120,'Raw data &amp; Hourly Summary'!I120,'Raw data &amp; Hourly Summary'!M120,'Raw data &amp; Hourly Summary'!Q120,'Raw data &amp; Hourly Summary'!U120)</f>
        <v>2778</v>
      </c>
      <c r="F34" s="272">
        <f>SUM('Raw data &amp; Hourly Summary'!F120,'Raw data &amp; Hourly Summary'!J120,'Raw data &amp; Hourly Summary'!N120,'Raw data &amp; Hourly Summary'!R120,'Raw data &amp; Hourly Summary'!V120)</f>
        <v>50</v>
      </c>
      <c r="G34" s="273">
        <f>SUM('Raw data &amp; Hourly Summary'!G120,'Raw data &amp; Hourly Summary'!K120,'Raw data &amp; Hourly Summary'!O120,'Raw data &amp; Hourly Summary'!S120,'Raw data &amp; Hourly Summary'!W120)</f>
        <v>80</v>
      </c>
      <c r="H34" s="274">
        <f t="shared" si="7"/>
        <v>2908</v>
      </c>
      <c r="I34" s="271">
        <f>SUM('Raw data &amp; Hourly Summary'!Y120,'Raw data &amp; Hourly Summary'!AC120,'Raw data &amp; Hourly Summary'!AG120,'Raw data &amp; Hourly Summary'!AK120,'Raw data &amp; Hourly Summary'!AO120)</f>
        <v>1331</v>
      </c>
      <c r="J34" s="272">
        <f>SUM('Raw data &amp; Hourly Summary'!Z120,'Raw data &amp; Hourly Summary'!AD120,'Raw data &amp; Hourly Summary'!AH120,'Raw data &amp; Hourly Summary'!AL120,'Raw data &amp; Hourly Summary'!AP120)</f>
        <v>25</v>
      </c>
      <c r="K34" s="273">
        <f>SUM('Raw data &amp; Hourly Summary'!AA120,'Raw data &amp; Hourly Summary'!AE120,'Raw data &amp; Hourly Summary'!AI120,'Raw data &amp; Hourly Summary'!AM120,'Raw data &amp; Hourly Summary'!AQ120)</f>
        <v>0</v>
      </c>
      <c r="L34" s="274">
        <f t="shared" si="8"/>
        <v>1356</v>
      </c>
      <c r="M34" s="271">
        <f>SUM('Raw data &amp; Hourly Summary'!E152,'Raw data &amp; Hourly Summary'!I152,'Raw data &amp; Hourly Summary'!M152,'Raw data &amp; Hourly Summary'!Q152,'Raw data &amp; Hourly Summary'!U152)</f>
        <v>1087</v>
      </c>
      <c r="N34" s="272">
        <f>SUM('Raw data &amp; Hourly Summary'!F152,'Raw data &amp; Hourly Summary'!J152,'Raw data &amp; Hourly Summary'!N152,'Raw data &amp; Hourly Summary'!R152,'Raw data &amp; Hourly Summary'!V152)</f>
        <v>40</v>
      </c>
      <c r="O34" s="273">
        <f>SUM('Raw data &amp; Hourly Summary'!G152,'Raw data &amp; Hourly Summary'!K152,'Raw data &amp; Hourly Summary'!O152,'Raw data &amp; Hourly Summary'!S152,'Raw data &amp; Hourly Summary'!W152)</f>
        <v>1</v>
      </c>
      <c r="P34" s="274">
        <f t="shared" si="9"/>
        <v>1128</v>
      </c>
      <c r="Q34" s="271">
        <f>SUM('Raw data &amp; Hourly Summary'!Y152,'Raw data &amp; Hourly Summary'!AC152,'Raw data &amp; Hourly Summary'!AG152,'Raw data &amp; Hourly Summary'!AK152,'Raw data &amp; Hourly Summary'!AO152)</f>
        <v>1213</v>
      </c>
      <c r="R34" s="272">
        <f>SUM('Raw data &amp; Hourly Summary'!Z152,'Raw data &amp; Hourly Summary'!AD152,'Raw data &amp; Hourly Summary'!AH152,'Raw data &amp; Hourly Summary'!AL152,'Raw data &amp; Hourly Summary'!AP152)</f>
        <v>40</v>
      </c>
      <c r="S34" s="273">
        <f>SUM('Raw data &amp; Hourly Summary'!AA152,'Raw data &amp; Hourly Summary'!AE152,'Raw data &amp; Hourly Summary'!AI152,'Raw data &amp; Hourly Summary'!AM152,'Raw data &amp; Hourly Summary'!AQ152)</f>
        <v>81</v>
      </c>
      <c r="T34" s="274">
        <f t="shared" si="10"/>
        <v>1334</v>
      </c>
      <c r="U34" s="271">
        <f>SUM('Raw data &amp; Hourly Summary'!AS152,'Raw data &amp; Hourly Summary'!AW152,'Raw data &amp; Hourly Summary'!BA152,'Raw data &amp; Hourly Summary'!BE152,'Raw data &amp; Hourly Summary'!BI152)</f>
        <v>412</v>
      </c>
      <c r="V34" s="272">
        <f>SUM('Raw data &amp; Hourly Summary'!AT152,'Raw data &amp; Hourly Summary'!AX152,'Raw data &amp; Hourly Summary'!BB152,'Raw data &amp; Hourly Summary'!BF152,'Raw data &amp; Hourly Summary'!BJ152)</f>
        <v>9</v>
      </c>
      <c r="W34" s="273">
        <f>SUM('Raw data &amp; Hourly Summary'!AU152,'Raw data &amp; Hourly Summary'!AY152,'Raw data &amp; Hourly Summary'!BC152,'Raw data &amp; Hourly Summary'!BG152,'Raw data &amp; Hourly Summary'!BK152)</f>
        <v>0</v>
      </c>
      <c r="X34" s="274">
        <f t="shared" si="11"/>
        <v>421</v>
      </c>
      <c r="Y34" s="275">
        <f t="shared" si="36"/>
        <v>7147</v>
      </c>
      <c r="Z34" s="52"/>
      <c r="AA34" s="52"/>
      <c r="AB34" s="52"/>
      <c r="AG34" s="55"/>
      <c r="BC34" s="87"/>
      <c r="BE34" s="1"/>
    </row>
    <row r="35" spans="2:57" s="50" customFormat="1" ht="24.95" customHeight="1">
      <c r="B35" s="30">
        <f>'Raw data &amp; Hourly Summary'!B35</f>
        <v>0.60416666666666663</v>
      </c>
      <c r="C35" s="31" t="s">
        <v>9</v>
      </c>
      <c r="D35" s="32">
        <f t="shared" si="6"/>
        <v>0.64583333666666665</v>
      </c>
      <c r="E35" s="40">
        <f>SUM('Raw data &amp; Hourly Summary'!E121,'Raw data &amp; Hourly Summary'!I121,'Raw data &amp; Hourly Summary'!M121,'Raw data &amp; Hourly Summary'!Q121,'Raw data &amp; Hourly Summary'!U121)</f>
        <v>652</v>
      </c>
      <c r="F35" s="269">
        <f>SUM('Raw data &amp; Hourly Summary'!F121,'Raw data &amp; Hourly Summary'!J121,'Raw data &amp; Hourly Summary'!N121,'Raw data &amp; Hourly Summary'!R121,'Raw data &amp; Hourly Summary'!V121)</f>
        <v>9</v>
      </c>
      <c r="G35" s="41">
        <f>SUM('Raw data &amp; Hourly Summary'!G121,'Raw data &amp; Hourly Summary'!K121,'Raw data &amp; Hourly Summary'!O121,'Raw data &amp; Hourly Summary'!S121,'Raw data &amp; Hourly Summary'!W121)</f>
        <v>17</v>
      </c>
      <c r="H35" s="35">
        <f t="shared" si="7"/>
        <v>678</v>
      </c>
      <c r="I35" s="40">
        <f>SUM('Raw data &amp; Hourly Summary'!Y121,'Raw data &amp; Hourly Summary'!AC121,'Raw data &amp; Hourly Summary'!AG121,'Raw data &amp; Hourly Summary'!AK121,'Raw data &amp; Hourly Summary'!AO121)</f>
        <v>371</v>
      </c>
      <c r="J35" s="269">
        <f>SUM('Raw data &amp; Hourly Summary'!Z121,'Raw data &amp; Hourly Summary'!AD121,'Raw data &amp; Hourly Summary'!AH121,'Raw data &amp; Hourly Summary'!AL121,'Raw data &amp; Hourly Summary'!AP121)</f>
        <v>5</v>
      </c>
      <c r="K35" s="41">
        <f>SUM('Raw data &amp; Hourly Summary'!AA121,'Raw data &amp; Hourly Summary'!AE121,'Raw data &amp; Hourly Summary'!AI121,'Raw data &amp; Hourly Summary'!AM121,'Raw data &amp; Hourly Summary'!AQ121)</f>
        <v>0</v>
      </c>
      <c r="L35" s="35">
        <f t="shared" si="8"/>
        <v>376</v>
      </c>
      <c r="M35" s="40">
        <f>SUM('Raw data &amp; Hourly Summary'!E153,'Raw data &amp; Hourly Summary'!I153,'Raw data &amp; Hourly Summary'!M153,'Raw data &amp; Hourly Summary'!Q153,'Raw data &amp; Hourly Summary'!U153)</f>
        <v>571</v>
      </c>
      <c r="N35" s="269">
        <f>SUM('Raw data &amp; Hourly Summary'!F153,'Raw data &amp; Hourly Summary'!J153,'Raw data &amp; Hourly Summary'!N153,'Raw data &amp; Hourly Summary'!R153,'Raw data &amp; Hourly Summary'!V153)</f>
        <v>8</v>
      </c>
      <c r="O35" s="41">
        <f>SUM('Raw data &amp; Hourly Summary'!G153,'Raw data &amp; Hourly Summary'!K153,'Raw data &amp; Hourly Summary'!O153,'Raw data &amp; Hourly Summary'!S153,'Raw data &amp; Hourly Summary'!W153)</f>
        <v>1</v>
      </c>
      <c r="P35" s="35">
        <f t="shared" si="9"/>
        <v>580</v>
      </c>
      <c r="Q35" s="40">
        <f>SUM('Raw data &amp; Hourly Summary'!Y153,'Raw data &amp; Hourly Summary'!AC153,'Raw data &amp; Hourly Summary'!AG153,'Raw data &amp; Hourly Summary'!AK153,'Raw data &amp; Hourly Summary'!AO153)</f>
        <v>577</v>
      </c>
      <c r="R35" s="269">
        <f>SUM('Raw data &amp; Hourly Summary'!Z153,'Raw data &amp; Hourly Summary'!AD153,'Raw data &amp; Hourly Summary'!AH153,'Raw data &amp; Hourly Summary'!AL153,'Raw data &amp; Hourly Summary'!AP153)</f>
        <v>7</v>
      </c>
      <c r="S35" s="41">
        <f>SUM('Raw data &amp; Hourly Summary'!AA153,'Raw data &amp; Hourly Summary'!AE153,'Raw data &amp; Hourly Summary'!AI153,'Raw data &amp; Hourly Summary'!AM153,'Raw data &amp; Hourly Summary'!AQ153)</f>
        <v>14</v>
      </c>
      <c r="T35" s="35">
        <f t="shared" si="10"/>
        <v>598</v>
      </c>
      <c r="U35" s="40">
        <f>SUM('Raw data &amp; Hourly Summary'!AS153,'Raw data &amp; Hourly Summary'!AW153,'Raw data &amp; Hourly Summary'!BA153,'Raw data &amp; Hourly Summary'!BE153,'Raw data &amp; Hourly Summary'!BI153)</f>
        <v>97</v>
      </c>
      <c r="V35" s="269">
        <f>SUM('Raw data &amp; Hourly Summary'!AT153,'Raw data &amp; Hourly Summary'!AX153,'Raw data &amp; Hourly Summary'!BB153,'Raw data &amp; Hourly Summary'!BF153,'Raw data &amp; Hourly Summary'!BJ153)</f>
        <v>1</v>
      </c>
      <c r="W35" s="41">
        <f>SUM('Raw data &amp; Hourly Summary'!AU153,'Raw data &amp; Hourly Summary'!AY153,'Raw data &amp; Hourly Summary'!BC153,'Raw data &amp; Hourly Summary'!BG153,'Raw data &amp; Hourly Summary'!BK153)</f>
        <v>0</v>
      </c>
      <c r="X35" s="35">
        <f t="shared" si="11"/>
        <v>98</v>
      </c>
      <c r="Y35" s="133">
        <f t="shared" si="36"/>
        <v>2330</v>
      </c>
      <c r="Z35" s="52"/>
      <c r="AA35" s="52"/>
      <c r="AB35" s="52"/>
      <c r="AG35" s="55" t="str">
        <f t="shared" ref="AG35:AG41" si="47">IF($BD35=$Y35,B35,"")</f>
        <v/>
      </c>
      <c r="AH35" s="50" t="str">
        <f t="shared" ref="AH35:AH41" si="48">IF($BD35=$Y35,E35,"")</f>
        <v/>
      </c>
      <c r="AI35" s="50" t="str">
        <f t="shared" ref="AI35:AI47" si="49">IF($BD35=$Y35,F35,"")</f>
        <v/>
      </c>
      <c r="AJ35" s="50" t="str">
        <f t="shared" ref="AJ35:AJ47" si="50">IF($BD35=$Y35,G35,"")</f>
        <v/>
      </c>
      <c r="AK35" s="50" t="str">
        <f t="shared" ref="AK35:AK47" si="51">IF($BD35=$Y35,H35,"")</f>
        <v/>
      </c>
      <c r="AL35" s="50" t="str">
        <f t="shared" ref="AL35:AL47" si="52">IF($BD35=$Y35,I35,"")</f>
        <v/>
      </c>
      <c r="AM35" s="50" t="str">
        <f t="shared" ref="AM35:AM47" si="53">IF($BD35=$Y35,J35,"")</f>
        <v/>
      </c>
      <c r="AN35" s="50" t="str">
        <f t="shared" ref="AN35:AN47" si="54">IF($BD35=$Y35,K35,"")</f>
        <v/>
      </c>
      <c r="AO35" s="50" t="str">
        <f t="shared" ref="AO35:AO47" si="55">IF($BD35=$Y35,L35,"")</f>
        <v/>
      </c>
      <c r="AP35" s="50" t="str">
        <f t="shared" ref="AP35:AP47" si="56">IF($BD35=$Y35,M35,"")</f>
        <v/>
      </c>
      <c r="AQ35" s="50" t="str">
        <f t="shared" ref="AQ35:AQ47" si="57">IF($BD35=$Y35,N35,"")</f>
        <v/>
      </c>
      <c r="AR35" s="50" t="str">
        <f t="shared" ref="AR35:AR47" si="58">IF($BD35=$Y35,O35,"")</f>
        <v/>
      </c>
      <c r="AS35" s="50" t="str">
        <f t="shared" ref="AS35:AS47" si="59">IF($BD35=$Y35,P35,"")</f>
        <v/>
      </c>
      <c r="AT35" s="50" t="str">
        <f t="shared" ref="AT35:AT47" si="60">IF($BD35=$Y35,Q35,"")</f>
        <v/>
      </c>
      <c r="AU35" s="50" t="str">
        <f t="shared" ref="AU35:AU47" si="61">IF($BD35=$Y35,R35,"")</f>
        <v/>
      </c>
      <c r="AV35" s="50" t="str">
        <f t="shared" ref="AV35:AV47" si="62">IF($BD35=$Y35,S35,"")</f>
        <v/>
      </c>
      <c r="AW35" s="50" t="str">
        <f t="shared" ref="AW35:AW47" si="63">IF($BD35=$Y35,T35,"")</f>
        <v/>
      </c>
      <c r="AX35" s="50" t="str">
        <f t="shared" ref="AX35:AX47" si="64">IF($BD35=$Y35,U35,"")</f>
        <v/>
      </c>
      <c r="AY35" s="50" t="str">
        <f t="shared" ref="AY35:AY47" si="65">IF($BD35=$Y35,V35,"")</f>
        <v/>
      </c>
      <c r="AZ35" s="50" t="str">
        <f t="shared" ref="AZ35:AZ47" si="66">IF($BD35=$Y35,W35,"")</f>
        <v/>
      </c>
      <c r="BA35" s="50" t="str">
        <f t="shared" ref="BA35:BA47" si="67">IF($BD35=$Y35,X35,"")</f>
        <v/>
      </c>
      <c r="BB35" s="50" t="str">
        <f t="shared" ref="BB35:BB47" si="68">IF($BD35=$Y35,Y35,"")</f>
        <v/>
      </c>
      <c r="BD35" s="131">
        <f t="shared" si="34"/>
        <v>2665</v>
      </c>
    </row>
    <row r="36" spans="2:57" s="50" customFormat="1" ht="24.95" customHeight="1">
      <c r="B36" s="30">
        <f t="shared" si="35"/>
        <v>0.61458333416666666</v>
      </c>
      <c r="C36" s="31" t="s">
        <v>9</v>
      </c>
      <c r="D36" s="39">
        <f t="shared" si="6"/>
        <v>0.65625000416666668</v>
      </c>
      <c r="E36" s="40">
        <f>SUM('Raw data &amp; Hourly Summary'!E122,'Raw data &amp; Hourly Summary'!I122,'Raw data &amp; Hourly Summary'!M122,'Raw data &amp; Hourly Summary'!Q122,'Raw data &amp; Hourly Summary'!U122)</f>
        <v>687</v>
      </c>
      <c r="F36" s="269">
        <f>SUM('Raw data &amp; Hourly Summary'!F122,'Raw data &amp; Hourly Summary'!J122,'Raw data &amp; Hourly Summary'!N122,'Raw data &amp; Hourly Summary'!R122,'Raw data &amp; Hourly Summary'!V122)</f>
        <v>8</v>
      </c>
      <c r="G36" s="41">
        <f>SUM('Raw data &amp; Hourly Summary'!G122,'Raw data &amp; Hourly Summary'!K122,'Raw data &amp; Hourly Summary'!O122,'Raw data &amp; Hourly Summary'!S122,'Raw data &amp; Hourly Summary'!W122)</f>
        <v>16</v>
      </c>
      <c r="H36" s="42">
        <f t="shared" si="7"/>
        <v>711</v>
      </c>
      <c r="I36" s="40">
        <f>SUM('Raw data &amp; Hourly Summary'!Y122,'Raw data &amp; Hourly Summary'!AC122,'Raw data &amp; Hourly Summary'!AG122,'Raw data &amp; Hourly Summary'!AK122,'Raw data &amp; Hourly Summary'!AO122)</f>
        <v>374</v>
      </c>
      <c r="J36" s="269">
        <f>SUM('Raw data &amp; Hourly Summary'!Z122,'Raw data &amp; Hourly Summary'!AD122,'Raw data &amp; Hourly Summary'!AH122,'Raw data &amp; Hourly Summary'!AL122,'Raw data &amp; Hourly Summary'!AP122)</f>
        <v>7</v>
      </c>
      <c r="K36" s="41">
        <f>SUM('Raw data &amp; Hourly Summary'!AA122,'Raw data &amp; Hourly Summary'!AE122,'Raw data &amp; Hourly Summary'!AI122,'Raw data &amp; Hourly Summary'!AM122,'Raw data &amp; Hourly Summary'!AQ122)</f>
        <v>0</v>
      </c>
      <c r="L36" s="42">
        <f t="shared" si="8"/>
        <v>381</v>
      </c>
      <c r="M36" s="40">
        <f>SUM('Raw data &amp; Hourly Summary'!E154,'Raw data &amp; Hourly Summary'!I154,'Raw data &amp; Hourly Summary'!M154,'Raw data &amp; Hourly Summary'!Q154,'Raw data &amp; Hourly Summary'!U154)</f>
        <v>616</v>
      </c>
      <c r="N36" s="269">
        <f>SUM('Raw data &amp; Hourly Summary'!F154,'Raw data &amp; Hourly Summary'!J154,'Raw data &amp; Hourly Summary'!N154,'Raw data &amp; Hourly Summary'!R154,'Raw data &amp; Hourly Summary'!V154)</f>
        <v>7</v>
      </c>
      <c r="O36" s="41">
        <f>SUM('Raw data &amp; Hourly Summary'!G154,'Raw data &amp; Hourly Summary'!K154,'Raw data &amp; Hourly Summary'!O154,'Raw data &amp; Hourly Summary'!S154,'Raw data &amp; Hourly Summary'!W154)</f>
        <v>0</v>
      </c>
      <c r="P36" s="42">
        <f t="shared" si="9"/>
        <v>623</v>
      </c>
      <c r="Q36" s="40">
        <f>SUM('Raw data &amp; Hourly Summary'!Y154,'Raw data &amp; Hourly Summary'!AC154,'Raw data &amp; Hourly Summary'!AG154,'Raw data &amp; Hourly Summary'!AK154,'Raw data &amp; Hourly Summary'!AO154)</f>
        <v>602</v>
      </c>
      <c r="R36" s="269">
        <f>SUM('Raw data &amp; Hourly Summary'!Z154,'Raw data &amp; Hourly Summary'!AD154,'Raw data &amp; Hourly Summary'!AH154,'Raw data &amp; Hourly Summary'!AL154,'Raw data &amp; Hourly Summary'!AP154)</f>
        <v>5</v>
      </c>
      <c r="S36" s="41">
        <f>SUM('Raw data &amp; Hourly Summary'!AA154,'Raw data &amp; Hourly Summary'!AE154,'Raw data &amp; Hourly Summary'!AI154,'Raw data &amp; Hourly Summary'!AM154,'Raw data &amp; Hourly Summary'!AQ154)</f>
        <v>14</v>
      </c>
      <c r="T36" s="42">
        <f t="shared" si="10"/>
        <v>621</v>
      </c>
      <c r="U36" s="40">
        <f>SUM('Raw data &amp; Hourly Summary'!AS154,'Raw data &amp; Hourly Summary'!AW154,'Raw data &amp; Hourly Summary'!BA154,'Raw data &amp; Hourly Summary'!BE154,'Raw data &amp; Hourly Summary'!BI154)</f>
        <v>96</v>
      </c>
      <c r="V36" s="269">
        <f>SUM('Raw data &amp; Hourly Summary'!AT154,'Raw data &amp; Hourly Summary'!AX154,'Raw data &amp; Hourly Summary'!BB154,'Raw data &amp; Hourly Summary'!BF154,'Raw data &amp; Hourly Summary'!BJ154)</f>
        <v>1</v>
      </c>
      <c r="W36" s="41">
        <f>SUM('Raw data &amp; Hourly Summary'!AU154,'Raw data &amp; Hourly Summary'!AY154,'Raw data &amp; Hourly Summary'!BC154,'Raw data &amp; Hourly Summary'!BG154,'Raw data &amp; Hourly Summary'!BK154)</f>
        <v>0</v>
      </c>
      <c r="X36" s="42">
        <f t="shared" si="11"/>
        <v>97</v>
      </c>
      <c r="Y36" s="132">
        <f t="shared" si="36"/>
        <v>2433</v>
      </c>
      <c r="Z36" s="52"/>
      <c r="AA36" s="52"/>
      <c r="AB36" s="52"/>
      <c r="AG36" s="55" t="str">
        <f t="shared" si="47"/>
        <v/>
      </c>
      <c r="AH36" s="50" t="str">
        <f t="shared" si="48"/>
        <v/>
      </c>
      <c r="AI36" s="50" t="str">
        <f t="shared" si="49"/>
        <v/>
      </c>
      <c r="AJ36" s="50" t="str">
        <f t="shared" si="50"/>
        <v/>
      </c>
      <c r="AK36" s="50" t="str">
        <f t="shared" si="51"/>
        <v/>
      </c>
      <c r="AL36" s="50" t="str">
        <f t="shared" si="52"/>
        <v/>
      </c>
      <c r="AM36" s="50" t="str">
        <f t="shared" si="53"/>
        <v/>
      </c>
      <c r="AN36" s="50" t="str">
        <f t="shared" si="54"/>
        <v/>
      </c>
      <c r="AO36" s="50" t="str">
        <f t="shared" si="55"/>
        <v/>
      </c>
      <c r="AP36" s="50" t="str">
        <f t="shared" si="56"/>
        <v/>
      </c>
      <c r="AQ36" s="50" t="str">
        <f t="shared" si="57"/>
        <v/>
      </c>
      <c r="AR36" s="50" t="str">
        <f t="shared" si="58"/>
        <v/>
      </c>
      <c r="AS36" s="50" t="str">
        <f t="shared" si="59"/>
        <v/>
      </c>
      <c r="AT36" s="50" t="str">
        <f t="shared" si="60"/>
        <v/>
      </c>
      <c r="AU36" s="50" t="str">
        <f t="shared" si="61"/>
        <v/>
      </c>
      <c r="AV36" s="50" t="str">
        <f t="shared" si="62"/>
        <v/>
      </c>
      <c r="AW36" s="50" t="str">
        <f t="shared" si="63"/>
        <v/>
      </c>
      <c r="AX36" s="50" t="str">
        <f t="shared" si="64"/>
        <v/>
      </c>
      <c r="AY36" s="50" t="str">
        <f t="shared" si="65"/>
        <v/>
      </c>
      <c r="AZ36" s="50" t="str">
        <f t="shared" si="66"/>
        <v/>
      </c>
      <c r="BA36" s="50" t="str">
        <f t="shared" si="67"/>
        <v/>
      </c>
      <c r="BB36" s="50" t="str">
        <f t="shared" si="68"/>
        <v/>
      </c>
      <c r="BD36" s="131">
        <f t="shared" si="34"/>
        <v>2665</v>
      </c>
    </row>
    <row r="37" spans="2:57" s="50" customFormat="1" ht="24.95" customHeight="1">
      <c r="B37" s="30">
        <f t="shared" si="35"/>
        <v>0.62500000166666669</v>
      </c>
      <c r="C37" s="31" t="s">
        <v>9</v>
      </c>
      <c r="D37" s="39">
        <f t="shared" si="6"/>
        <v>0.66666667166666671</v>
      </c>
      <c r="E37" s="40">
        <f>SUM('Raw data &amp; Hourly Summary'!E123,'Raw data &amp; Hourly Summary'!I123,'Raw data &amp; Hourly Summary'!M123,'Raw data &amp; Hourly Summary'!Q123,'Raw data &amp; Hourly Summary'!U123)</f>
        <v>651</v>
      </c>
      <c r="F37" s="269">
        <f>SUM('Raw data &amp; Hourly Summary'!F123,'Raw data &amp; Hourly Summary'!J123,'Raw data &amp; Hourly Summary'!N123,'Raw data &amp; Hourly Summary'!R123,'Raw data &amp; Hourly Summary'!V123)</f>
        <v>7</v>
      </c>
      <c r="G37" s="41">
        <f>SUM('Raw data &amp; Hourly Summary'!G123,'Raw data &amp; Hourly Summary'!K123,'Raw data &amp; Hourly Summary'!O123,'Raw data &amp; Hourly Summary'!S123,'Raw data &amp; Hourly Summary'!W123)</f>
        <v>16</v>
      </c>
      <c r="H37" s="42">
        <f t="shared" si="7"/>
        <v>674</v>
      </c>
      <c r="I37" s="40">
        <f>SUM('Raw data &amp; Hourly Summary'!Y123,'Raw data &amp; Hourly Summary'!AC123,'Raw data &amp; Hourly Summary'!AG123,'Raw data &amp; Hourly Summary'!AK123,'Raw data &amp; Hourly Summary'!AO123)</f>
        <v>367</v>
      </c>
      <c r="J37" s="269">
        <f>SUM('Raw data &amp; Hourly Summary'!Z123,'Raw data &amp; Hourly Summary'!AD123,'Raw data &amp; Hourly Summary'!AH123,'Raw data &amp; Hourly Summary'!AL123,'Raw data &amp; Hourly Summary'!AP123)</f>
        <v>4</v>
      </c>
      <c r="K37" s="41">
        <f>SUM('Raw data &amp; Hourly Summary'!AA123,'Raw data &amp; Hourly Summary'!AE123,'Raw data &amp; Hourly Summary'!AI123,'Raw data &amp; Hourly Summary'!AM123,'Raw data &amp; Hourly Summary'!AQ123)</f>
        <v>0</v>
      </c>
      <c r="L37" s="42">
        <f t="shared" si="8"/>
        <v>371</v>
      </c>
      <c r="M37" s="40">
        <f>SUM('Raw data &amp; Hourly Summary'!E155,'Raw data &amp; Hourly Summary'!I155,'Raw data &amp; Hourly Summary'!M155,'Raw data &amp; Hourly Summary'!Q155,'Raw data &amp; Hourly Summary'!U155)</f>
        <v>637</v>
      </c>
      <c r="N37" s="269">
        <f>SUM('Raw data &amp; Hourly Summary'!F155,'Raw data &amp; Hourly Summary'!J155,'Raw data &amp; Hourly Summary'!N155,'Raw data &amp; Hourly Summary'!R155,'Raw data &amp; Hourly Summary'!V155)</f>
        <v>5</v>
      </c>
      <c r="O37" s="41">
        <f>SUM('Raw data &amp; Hourly Summary'!G155,'Raw data &amp; Hourly Summary'!K155,'Raw data &amp; Hourly Summary'!O155,'Raw data &amp; Hourly Summary'!S155,'Raw data &amp; Hourly Summary'!W155)</f>
        <v>0</v>
      </c>
      <c r="P37" s="42">
        <f t="shared" si="9"/>
        <v>642</v>
      </c>
      <c r="Q37" s="40">
        <f>SUM('Raw data &amp; Hourly Summary'!Y155,'Raw data &amp; Hourly Summary'!AC155,'Raw data &amp; Hourly Summary'!AG155,'Raw data &amp; Hourly Summary'!AK155,'Raw data &amp; Hourly Summary'!AO155)</f>
        <v>634</v>
      </c>
      <c r="R37" s="269">
        <f>SUM('Raw data &amp; Hourly Summary'!Z155,'Raw data &amp; Hourly Summary'!AD155,'Raw data &amp; Hourly Summary'!AH155,'Raw data &amp; Hourly Summary'!AL155,'Raw data &amp; Hourly Summary'!AP155)</f>
        <v>8</v>
      </c>
      <c r="S37" s="41">
        <f>SUM('Raw data &amp; Hourly Summary'!AA155,'Raw data &amp; Hourly Summary'!AE155,'Raw data &amp; Hourly Summary'!AI155,'Raw data &amp; Hourly Summary'!AM155,'Raw data &amp; Hourly Summary'!AQ155)</f>
        <v>15</v>
      </c>
      <c r="T37" s="42">
        <f t="shared" si="10"/>
        <v>657</v>
      </c>
      <c r="U37" s="40">
        <f>SUM('Raw data &amp; Hourly Summary'!AS155,'Raw data &amp; Hourly Summary'!AW155,'Raw data &amp; Hourly Summary'!BA155,'Raw data &amp; Hourly Summary'!BE155,'Raw data &amp; Hourly Summary'!BI155)</f>
        <v>83</v>
      </c>
      <c r="V37" s="269">
        <f>SUM('Raw data &amp; Hourly Summary'!AT155,'Raw data &amp; Hourly Summary'!AX155,'Raw data &amp; Hourly Summary'!BB155,'Raw data &amp; Hourly Summary'!BF155,'Raw data &amp; Hourly Summary'!BJ155)</f>
        <v>1</v>
      </c>
      <c r="W37" s="41">
        <f>SUM('Raw data &amp; Hourly Summary'!AU155,'Raw data &amp; Hourly Summary'!AY155,'Raw data &amp; Hourly Summary'!BC155,'Raw data &amp; Hourly Summary'!BG155,'Raw data &amp; Hourly Summary'!BK155)</f>
        <v>0</v>
      </c>
      <c r="X37" s="42">
        <f t="shared" si="11"/>
        <v>84</v>
      </c>
      <c r="Y37" s="132">
        <f t="shared" si="36"/>
        <v>2428</v>
      </c>
      <c r="Z37" s="52"/>
      <c r="AA37" s="52"/>
      <c r="AB37" s="52"/>
      <c r="AG37" s="55" t="str">
        <f t="shared" si="47"/>
        <v/>
      </c>
      <c r="AH37" s="50" t="str">
        <f t="shared" si="48"/>
        <v/>
      </c>
      <c r="AI37" s="50" t="str">
        <f t="shared" si="49"/>
        <v/>
      </c>
      <c r="AJ37" s="50" t="str">
        <f t="shared" si="50"/>
        <v/>
      </c>
      <c r="AK37" s="50" t="str">
        <f t="shared" si="51"/>
        <v/>
      </c>
      <c r="AL37" s="50" t="str">
        <f t="shared" si="52"/>
        <v/>
      </c>
      <c r="AM37" s="50" t="str">
        <f t="shared" si="53"/>
        <v/>
      </c>
      <c r="AN37" s="50" t="str">
        <f t="shared" si="54"/>
        <v/>
      </c>
      <c r="AO37" s="50" t="str">
        <f t="shared" si="55"/>
        <v/>
      </c>
      <c r="AP37" s="50" t="str">
        <f t="shared" si="56"/>
        <v/>
      </c>
      <c r="AQ37" s="50" t="str">
        <f t="shared" si="57"/>
        <v/>
      </c>
      <c r="AR37" s="50" t="str">
        <f t="shared" si="58"/>
        <v/>
      </c>
      <c r="AS37" s="50" t="str">
        <f t="shared" si="59"/>
        <v/>
      </c>
      <c r="AT37" s="50" t="str">
        <f t="shared" si="60"/>
        <v/>
      </c>
      <c r="AU37" s="50" t="str">
        <f t="shared" si="61"/>
        <v/>
      </c>
      <c r="AV37" s="50" t="str">
        <f t="shared" si="62"/>
        <v/>
      </c>
      <c r="AW37" s="50" t="str">
        <f t="shared" si="63"/>
        <v/>
      </c>
      <c r="AX37" s="50" t="str">
        <f t="shared" si="64"/>
        <v/>
      </c>
      <c r="AY37" s="50" t="str">
        <f t="shared" si="65"/>
        <v/>
      </c>
      <c r="AZ37" s="50" t="str">
        <f t="shared" si="66"/>
        <v/>
      </c>
      <c r="BA37" s="50" t="str">
        <f t="shared" si="67"/>
        <v/>
      </c>
      <c r="BB37" s="50" t="str">
        <f t="shared" si="68"/>
        <v/>
      </c>
      <c r="BD37" s="131">
        <f t="shared" si="34"/>
        <v>2665</v>
      </c>
    </row>
    <row r="38" spans="2:57" s="50" customFormat="1" ht="24.95" customHeight="1">
      <c r="B38" s="30">
        <f t="shared" si="35"/>
        <v>0.63541666916666673</v>
      </c>
      <c r="C38" s="31" t="s">
        <v>9</v>
      </c>
      <c r="D38" s="39">
        <f t="shared" si="6"/>
        <v>0.67708333916666674</v>
      </c>
      <c r="E38" s="40">
        <f>SUM('Raw data &amp; Hourly Summary'!E124,'Raw data &amp; Hourly Summary'!I124,'Raw data &amp; Hourly Summary'!M124,'Raw data &amp; Hourly Summary'!Q124,'Raw data &amp; Hourly Summary'!U124)</f>
        <v>672</v>
      </c>
      <c r="F38" s="269">
        <f>SUM('Raw data &amp; Hourly Summary'!F124,'Raw data &amp; Hourly Summary'!J124,'Raw data &amp; Hourly Summary'!N124,'Raw data &amp; Hourly Summary'!R124,'Raw data &amp; Hourly Summary'!V124)</f>
        <v>7</v>
      </c>
      <c r="G38" s="41">
        <f>SUM('Raw data &amp; Hourly Summary'!G124,'Raw data &amp; Hourly Summary'!K124,'Raw data &amp; Hourly Summary'!O124,'Raw data &amp; Hourly Summary'!S124,'Raw data &amp; Hourly Summary'!W124)</f>
        <v>17</v>
      </c>
      <c r="H38" s="42">
        <f t="shared" si="7"/>
        <v>696</v>
      </c>
      <c r="I38" s="40">
        <f>SUM('Raw data &amp; Hourly Summary'!Y124,'Raw data &amp; Hourly Summary'!AC124,'Raw data &amp; Hourly Summary'!AG124,'Raw data &amp; Hourly Summary'!AK124,'Raw data &amp; Hourly Summary'!AO124)</f>
        <v>311</v>
      </c>
      <c r="J38" s="269">
        <f>SUM('Raw data &amp; Hourly Summary'!Z124,'Raw data &amp; Hourly Summary'!AD124,'Raw data &amp; Hourly Summary'!AH124,'Raw data &amp; Hourly Summary'!AL124,'Raw data &amp; Hourly Summary'!AP124)</f>
        <v>5</v>
      </c>
      <c r="K38" s="41">
        <f>SUM('Raw data &amp; Hourly Summary'!AA124,'Raw data &amp; Hourly Summary'!AE124,'Raw data &amp; Hourly Summary'!AI124,'Raw data &amp; Hourly Summary'!AM124,'Raw data &amp; Hourly Summary'!AQ124)</f>
        <v>0</v>
      </c>
      <c r="L38" s="42">
        <f t="shared" si="8"/>
        <v>316</v>
      </c>
      <c r="M38" s="40">
        <f>SUM('Raw data &amp; Hourly Summary'!E156,'Raw data &amp; Hourly Summary'!I156,'Raw data &amp; Hourly Summary'!M156,'Raw data &amp; Hourly Summary'!Q156,'Raw data &amp; Hourly Summary'!U156)</f>
        <v>648</v>
      </c>
      <c r="N38" s="269">
        <f>SUM('Raw data &amp; Hourly Summary'!F156,'Raw data &amp; Hourly Summary'!J156,'Raw data &amp; Hourly Summary'!N156,'Raw data &amp; Hourly Summary'!R156,'Raw data &amp; Hourly Summary'!V156)</f>
        <v>4</v>
      </c>
      <c r="O38" s="41">
        <f>SUM('Raw data &amp; Hourly Summary'!G156,'Raw data &amp; Hourly Summary'!K156,'Raw data &amp; Hourly Summary'!O156,'Raw data &amp; Hourly Summary'!S156,'Raw data &amp; Hourly Summary'!W156)</f>
        <v>0</v>
      </c>
      <c r="P38" s="42">
        <f t="shared" si="9"/>
        <v>652</v>
      </c>
      <c r="Q38" s="40">
        <f>SUM('Raw data &amp; Hourly Summary'!Y156,'Raw data &amp; Hourly Summary'!AC156,'Raw data &amp; Hourly Summary'!AG156,'Raw data &amp; Hourly Summary'!AK156,'Raw data &amp; Hourly Summary'!AO156)</f>
        <v>655</v>
      </c>
      <c r="R38" s="269">
        <f>SUM('Raw data &amp; Hourly Summary'!Z156,'Raw data &amp; Hourly Summary'!AD156,'Raw data &amp; Hourly Summary'!AH156,'Raw data &amp; Hourly Summary'!AL156,'Raw data &amp; Hourly Summary'!AP156)</f>
        <v>12</v>
      </c>
      <c r="S38" s="41">
        <f>SUM('Raw data &amp; Hourly Summary'!AA156,'Raw data &amp; Hourly Summary'!AE156,'Raw data &amp; Hourly Summary'!AI156,'Raw data &amp; Hourly Summary'!AM156,'Raw data &amp; Hourly Summary'!AQ156)</f>
        <v>21</v>
      </c>
      <c r="T38" s="42">
        <f t="shared" si="10"/>
        <v>688</v>
      </c>
      <c r="U38" s="40">
        <f>SUM('Raw data &amp; Hourly Summary'!AS156,'Raw data &amp; Hourly Summary'!AW156,'Raw data &amp; Hourly Summary'!BA156,'Raw data &amp; Hourly Summary'!BE156,'Raw data &amp; Hourly Summary'!BI156)</f>
        <v>78</v>
      </c>
      <c r="V38" s="269">
        <f>SUM('Raw data &amp; Hourly Summary'!AT156,'Raw data &amp; Hourly Summary'!AX156,'Raw data &amp; Hourly Summary'!BB156,'Raw data &amp; Hourly Summary'!BF156,'Raw data &amp; Hourly Summary'!BJ156)</f>
        <v>1</v>
      </c>
      <c r="W38" s="41">
        <f>SUM('Raw data &amp; Hourly Summary'!AU156,'Raw data &amp; Hourly Summary'!AY156,'Raw data &amp; Hourly Summary'!BC156,'Raw data &amp; Hourly Summary'!BG156,'Raw data &amp; Hourly Summary'!BK156)</f>
        <v>0</v>
      </c>
      <c r="X38" s="42">
        <f t="shared" si="11"/>
        <v>79</v>
      </c>
      <c r="Y38" s="132">
        <f t="shared" si="36"/>
        <v>2431</v>
      </c>
      <c r="Z38" s="52"/>
      <c r="AA38" s="52"/>
      <c r="AB38" s="52"/>
      <c r="AG38" s="55" t="str">
        <f t="shared" si="47"/>
        <v/>
      </c>
      <c r="AH38" s="50" t="str">
        <f t="shared" si="48"/>
        <v/>
      </c>
      <c r="AI38" s="50" t="str">
        <f t="shared" si="49"/>
        <v/>
      </c>
      <c r="AJ38" s="50" t="str">
        <f t="shared" si="50"/>
        <v/>
      </c>
      <c r="AK38" s="50" t="str">
        <f t="shared" si="51"/>
        <v/>
      </c>
      <c r="AL38" s="50" t="str">
        <f t="shared" si="52"/>
        <v/>
      </c>
      <c r="AM38" s="50" t="str">
        <f t="shared" si="53"/>
        <v/>
      </c>
      <c r="AN38" s="50" t="str">
        <f t="shared" si="54"/>
        <v/>
      </c>
      <c r="AO38" s="50" t="str">
        <f t="shared" si="55"/>
        <v/>
      </c>
      <c r="AP38" s="50" t="str">
        <f t="shared" si="56"/>
        <v/>
      </c>
      <c r="AQ38" s="50" t="str">
        <f t="shared" si="57"/>
        <v/>
      </c>
      <c r="AR38" s="50" t="str">
        <f t="shared" si="58"/>
        <v/>
      </c>
      <c r="AS38" s="50" t="str">
        <f t="shared" si="59"/>
        <v/>
      </c>
      <c r="AT38" s="50" t="str">
        <f t="shared" si="60"/>
        <v/>
      </c>
      <c r="AU38" s="50" t="str">
        <f t="shared" si="61"/>
        <v/>
      </c>
      <c r="AV38" s="50" t="str">
        <f t="shared" si="62"/>
        <v/>
      </c>
      <c r="AW38" s="50" t="str">
        <f t="shared" si="63"/>
        <v/>
      </c>
      <c r="AX38" s="50" t="str">
        <f t="shared" si="64"/>
        <v/>
      </c>
      <c r="AY38" s="50" t="str">
        <f t="shared" si="65"/>
        <v/>
      </c>
      <c r="AZ38" s="50" t="str">
        <f t="shared" si="66"/>
        <v/>
      </c>
      <c r="BA38" s="50" t="str">
        <f t="shared" si="67"/>
        <v/>
      </c>
      <c r="BB38" s="50" t="str">
        <f t="shared" si="68"/>
        <v/>
      </c>
      <c r="BD38" s="131">
        <f t="shared" si="34"/>
        <v>2665</v>
      </c>
    </row>
    <row r="39" spans="2:57" s="50" customFormat="1" ht="24.95" customHeight="1">
      <c r="B39" s="30">
        <f t="shared" si="35"/>
        <v>0.64583333666666676</v>
      </c>
      <c r="C39" s="31" t="s">
        <v>9</v>
      </c>
      <c r="D39" s="39">
        <f t="shared" si="6"/>
        <v>0.68750000666666677</v>
      </c>
      <c r="E39" s="40">
        <f>SUM('Raw data &amp; Hourly Summary'!E125,'Raw data &amp; Hourly Summary'!I125,'Raw data &amp; Hourly Summary'!M125,'Raw data &amp; Hourly Summary'!Q125,'Raw data &amp; Hourly Summary'!U125)</f>
        <v>668</v>
      </c>
      <c r="F39" s="269">
        <f>SUM('Raw data &amp; Hourly Summary'!F125,'Raw data &amp; Hourly Summary'!J125,'Raw data &amp; Hourly Summary'!N125,'Raw data &amp; Hourly Summary'!R125,'Raw data &amp; Hourly Summary'!V125)</f>
        <v>6</v>
      </c>
      <c r="G39" s="41">
        <f>SUM('Raw data &amp; Hourly Summary'!G125,'Raw data &amp; Hourly Summary'!K125,'Raw data &amp; Hourly Summary'!O125,'Raw data &amp; Hourly Summary'!S125,'Raw data &amp; Hourly Summary'!W125)</f>
        <v>15</v>
      </c>
      <c r="H39" s="42">
        <f t="shared" si="7"/>
        <v>689</v>
      </c>
      <c r="I39" s="40">
        <f>SUM('Raw data &amp; Hourly Summary'!Y125,'Raw data &amp; Hourly Summary'!AC125,'Raw data &amp; Hourly Summary'!AG125,'Raw data &amp; Hourly Summary'!AK125,'Raw data &amp; Hourly Summary'!AO125)</f>
        <v>285</v>
      </c>
      <c r="J39" s="269">
        <f>SUM('Raw data &amp; Hourly Summary'!Z125,'Raw data &amp; Hourly Summary'!AD125,'Raw data &amp; Hourly Summary'!AH125,'Raw data &amp; Hourly Summary'!AL125,'Raw data &amp; Hourly Summary'!AP125)</f>
        <v>5</v>
      </c>
      <c r="K39" s="41">
        <f>SUM('Raw data &amp; Hourly Summary'!AA125,'Raw data &amp; Hourly Summary'!AE125,'Raw data &amp; Hourly Summary'!AI125,'Raw data &amp; Hourly Summary'!AM125,'Raw data &amp; Hourly Summary'!AQ125)</f>
        <v>0</v>
      </c>
      <c r="L39" s="42">
        <f t="shared" si="8"/>
        <v>290</v>
      </c>
      <c r="M39" s="40">
        <f>SUM('Raw data &amp; Hourly Summary'!E157,'Raw data &amp; Hourly Summary'!I157,'Raw data &amp; Hourly Summary'!M157,'Raw data &amp; Hourly Summary'!Q157,'Raw data &amp; Hourly Summary'!U157)</f>
        <v>659</v>
      </c>
      <c r="N39" s="269">
        <f>SUM('Raw data &amp; Hourly Summary'!F157,'Raw data &amp; Hourly Summary'!J157,'Raw data &amp; Hourly Summary'!N157,'Raw data &amp; Hourly Summary'!R157,'Raw data &amp; Hourly Summary'!V157)</f>
        <v>4</v>
      </c>
      <c r="O39" s="41">
        <f>SUM('Raw data &amp; Hourly Summary'!G157,'Raw data &amp; Hourly Summary'!K157,'Raw data &amp; Hourly Summary'!O157,'Raw data &amp; Hourly Summary'!S157,'Raw data &amp; Hourly Summary'!W157)</f>
        <v>0</v>
      </c>
      <c r="P39" s="42">
        <f t="shared" si="9"/>
        <v>663</v>
      </c>
      <c r="Q39" s="40">
        <f>SUM('Raw data &amp; Hourly Summary'!Y157,'Raw data &amp; Hourly Summary'!AC157,'Raw data &amp; Hourly Summary'!AG157,'Raw data &amp; Hourly Summary'!AK157,'Raw data &amp; Hourly Summary'!AO157)</f>
        <v>680</v>
      </c>
      <c r="R39" s="269">
        <f>SUM('Raw data &amp; Hourly Summary'!Z157,'Raw data &amp; Hourly Summary'!AD157,'Raw data &amp; Hourly Summary'!AH157,'Raw data &amp; Hourly Summary'!AL157,'Raw data &amp; Hourly Summary'!AP157)</f>
        <v>15</v>
      </c>
      <c r="S39" s="41">
        <f>SUM('Raw data &amp; Hourly Summary'!AA157,'Raw data &amp; Hourly Summary'!AE157,'Raw data &amp; Hourly Summary'!AI157,'Raw data &amp; Hourly Summary'!AM157,'Raw data &amp; Hourly Summary'!AQ157)</f>
        <v>24</v>
      </c>
      <c r="T39" s="42">
        <f t="shared" si="10"/>
        <v>719</v>
      </c>
      <c r="U39" s="40">
        <f>SUM('Raw data &amp; Hourly Summary'!AS157,'Raw data &amp; Hourly Summary'!AW157,'Raw data &amp; Hourly Summary'!BA157,'Raw data &amp; Hourly Summary'!BE157,'Raw data &amp; Hourly Summary'!BI157)</f>
        <v>91</v>
      </c>
      <c r="V39" s="269">
        <f>SUM('Raw data &amp; Hourly Summary'!AT157,'Raw data &amp; Hourly Summary'!AX157,'Raw data &amp; Hourly Summary'!BB157,'Raw data &amp; Hourly Summary'!BF157,'Raw data &amp; Hourly Summary'!BJ157)</f>
        <v>0</v>
      </c>
      <c r="W39" s="41">
        <f>SUM('Raw data &amp; Hourly Summary'!AU157,'Raw data &amp; Hourly Summary'!AY157,'Raw data &amp; Hourly Summary'!BC157,'Raw data &amp; Hourly Summary'!BG157,'Raw data &amp; Hourly Summary'!BK157)</f>
        <v>0</v>
      </c>
      <c r="X39" s="42">
        <f t="shared" si="11"/>
        <v>91</v>
      </c>
      <c r="Y39" s="132">
        <f t="shared" si="36"/>
        <v>2452</v>
      </c>
      <c r="Z39" s="52"/>
      <c r="AA39" s="52"/>
      <c r="AB39" s="52"/>
      <c r="AG39" s="55" t="str">
        <f t="shared" si="47"/>
        <v/>
      </c>
      <c r="AH39" s="50" t="str">
        <f t="shared" si="48"/>
        <v/>
      </c>
      <c r="AI39" s="50" t="str">
        <f t="shared" si="49"/>
        <v/>
      </c>
      <c r="AJ39" s="50" t="str">
        <f t="shared" si="50"/>
        <v/>
      </c>
      <c r="AK39" s="50" t="str">
        <f t="shared" si="51"/>
        <v/>
      </c>
      <c r="AL39" s="50" t="str">
        <f t="shared" si="52"/>
        <v/>
      </c>
      <c r="AM39" s="50" t="str">
        <f t="shared" si="53"/>
        <v/>
      </c>
      <c r="AN39" s="50" t="str">
        <f t="shared" si="54"/>
        <v/>
      </c>
      <c r="AO39" s="50" t="str">
        <f t="shared" si="55"/>
        <v/>
      </c>
      <c r="AP39" s="50" t="str">
        <f t="shared" si="56"/>
        <v/>
      </c>
      <c r="AQ39" s="50" t="str">
        <f t="shared" si="57"/>
        <v/>
      </c>
      <c r="AR39" s="50" t="str">
        <f t="shared" si="58"/>
        <v/>
      </c>
      <c r="AS39" s="50" t="str">
        <f t="shared" si="59"/>
        <v/>
      </c>
      <c r="AT39" s="50" t="str">
        <f t="shared" si="60"/>
        <v/>
      </c>
      <c r="AU39" s="50" t="str">
        <f t="shared" si="61"/>
        <v/>
      </c>
      <c r="AV39" s="50" t="str">
        <f t="shared" si="62"/>
        <v/>
      </c>
      <c r="AW39" s="50" t="str">
        <f t="shared" si="63"/>
        <v/>
      </c>
      <c r="AX39" s="50" t="str">
        <f t="shared" si="64"/>
        <v/>
      </c>
      <c r="AY39" s="50" t="str">
        <f t="shared" si="65"/>
        <v/>
      </c>
      <c r="AZ39" s="50" t="str">
        <f t="shared" si="66"/>
        <v/>
      </c>
      <c r="BA39" s="50" t="str">
        <f t="shared" si="67"/>
        <v/>
      </c>
      <c r="BB39" s="50" t="str">
        <f t="shared" si="68"/>
        <v/>
      </c>
      <c r="BD39" s="131">
        <f t="shared" si="34"/>
        <v>2665</v>
      </c>
    </row>
    <row r="40" spans="2:57" s="50" customFormat="1" ht="24.95" customHeight="1">
      <c r="B40" s="30">
        <f t="shared" si="35"/>
        <v>0.65625000416666679</v>
      </c>
      <c r="C40" s="31" t="s">
        <v>9</v>
      </c>
      <c r="D40" s="39">
        <f t="shared" ref="D40:D41" si="69">SUM(0.04166667)+B40</f>
        <v>0.69791667416666681</v>
      </c>
      <c r="E40" s="40">
        <f>SUM('Raw data &amp; Hourly Summary'!E126,'Raw data &amp; Hourly Summary'!I126,'Raw data &amp; Hourly Summary'!M126,'Raw data &amp; Hourly Summary'!Q126,'Raw data &amp; Hourly Summary'!U126)</f>
        <v>676</v>
      </c>
      <c r="F40" s="269">
        <f>SUM('Raw data &amp; Hourly Summary'!F126,'Raw data &amp; Hourly Summary'!J126,'Raw data &amp; Hourly Summary'!N126,'Raw data &amp; Hourly Summary'!R126,'Raw data &amp; Hourly Summary'!V126)</f>
        <v>5</v>
      </c>
      <c r="G40" s="41">
        <f>SUM('Raw data &amp; Hourly Summary'!G126,'Raw data &amp; Hourly Summary'!K126,'Raw data &amp; Hourly Summary'!O126,'Raw data &amp; Hourly Summary'!S126,'Raw data &amp; Hourly Summary'!W126)</f>
        <v>16</v>
      </c>
      <c r="H40" s="42">
        <f t="shared" si="7"/>
        <v>697</v>
      </c>
      <c r="I40" s="40">
        <f>SUM('Raw data &amp; Hourly Summary'!Y126,'Raw data &amp; Hourly Summary'!AC126,'Raw data &amp; Hourly Summary'!AG126,'Raw data &amp; Hourly Summary'!AK126,'Raw data &amp; Hourly Summary'!AO126)</f>
        <v>274</v>
      </c>
      <c r="J40" s="269">
        <f>SUM('Raw data &amp; Hourly Summary'!Z126,'Raw data &amp; Hourly Summary'!AD126,'Raw data &amp; Hourly Summary'!AH126,'Raw data &amp; Hourly Summary'!AL126,'Raw data &amp; Hourly Summary'!AP126)</f>
        <v>2</v>
      </c>
      <c r="K40" s="41">
        <f>SUM('Raw data &amp; Hourly Summary'!AA126,'Raw data &amp; Hourly Summary'!AE126,'Raw data &amp; Hourly Summary'!AI126,'Raw data &amp; Hourly Summary'!AM126,'Raw data &amp; Hourly Summary'!AQ126)</f>
        <v>0</v>
      </c>
      <c r="L40" s="42">
        <f t="shared" si="8"/>
        <v>276</v>
      </c>
      <c r="M40" s="40">
        <f>SUM('Raw data &amp; Hourly Summary'!E158,'Raw data &amp; Hourly Summary'!I158,'Raw data &amp; Hourly Summary'!M158,'Raw data &amp; Hourly Summary'!Q158,'Raw data &amp; Hourly Summary'!U158)</f>
        <v>675</v>
      </c>
      <c r="N40" s="269">
        <f>SUM('Raw data &amp; Hourly Summary'!F158,'Raw data &amp; Hourly Summary'!J158,'Raw data &amp; Hourly Summary'!N158,'Raw data &amp; Hourly Summary'!R158,'Raw data &amp; Hourly Summary'!V158)</f>
        <v>3</v>
      </c>
      <c r="O40" s="41">
        <f>SUM('Raw data &amp; Hourly Summary'!G158,'Raw data &amp; Hourly Summary'!K158,'Raw data &amp; Hourly Summary'!O158,'Raw data &amp; Hourly Summary'!S158,'Raw data &amp; Hourly Summary'!W158)</f>
        <v>0</v>
      </c>
      <c r="P40" s="42">
        <f t="shared" si="9"/>
        <v>678</v>
      </c>
      <c r="Q40" s="40">
        <f>SUM('Raw data &amp; Hourly Summary'!Y158,'Raw data &amp; Hourly Summary'!AC158,'Raw data &amp; Hourly Summary'!AG158,'Raw data &amp; Hourly Summary'!AK158,'Raw data &amp; Hourly Summary'!AO158)</f>
        <v>696</v>
      </c>
      <c r="R40" s="269">
        <f>SUM('Raw data &amp; Hourly Summary'!Z158,'Raw data &amp; Hourly Summary'!AD158,'Raw data &amp; Hourly Summary'!AH158,'Raw data &amp; Hourly Summary'!AL158,'Raw data &amp; Hourly Summary'!AP158)</f>
        <v>14</v>
      </c>
      <c r="S40" s="41">
        <f>SUM('Raw data &amp; Hourly Summary'!AA158,'Raw data &amp; Hourly Summary'!AE158,'Raw data &amp; Hourly Summary'!AI158,'Raw data &amp; Hourly Summary'!AM158,'Raw data &amp; Hourly Summary'!AQ158)</f>
        <v>28</v>
      </c>
      <c r="T40" s="42">
        <f t="shared" ref="T40:T41" si="70">SUM(Q40:S40)</f>
        <v>738</v>
      </c>
      <c r="U40" s="40">
        <f>SUM('Raw data &amp; Hourly Summary'!AS158,'Raw data &amp; Hourly Summary'!AW158,'Raw data &amp; Hourly Summary'!BA158,'Raw data &amp; Hourly Summary'!BE158,'Raw data &amp; Hourly Summary'!BI158)</f>
        <v>104</v>
      </c>
      <c r="V40" s="269">
        <f>SUM('Raw data &amp; Hourly Summary'!AT158,'Raw data &amp; Hourly Summary'!AX158,'Raw data &amp; Hourly Summary'!BB158,'Raw data &amp; Hourly Summary'!BF158,'Raw data &amp; Hourly Summary'!BJ158)</f>
        <v>0</v>
      </c>
      <c r="W40" s="41">
        <f>SUM('Raw data &amp; Hourly Summary'!AU158,'Raw data &amp; Hourly Summary'!AY158,'Raw data &amp; Hourly Summary'!BC158,'Raw data &amp; Hourly Summary'!BG158,'Raw data &amp; Hourly Summary'!BK158)</f>
        <v>0</v>
      </c>
      <c r="X40" s="42">
        <f t="shared" si="11"/>
        <v>104</v>
      </c>
      <c r="Y40" s="132">
        <f t="shared" si="36"/>
        <v>2493</v>
      </c>
      <c r="Z40" s="52"/>
      <c r="AA40" s="52"/>
      <c r="AB40" s="52"/>
      <c r="AG40" s="55" t="str">
        <f t="shared" si="47"/>
        <v/>
      </c>
      <c r="AH40" s="50" t="str">
        <f t="shared" si="48"/>
        <v/>
      </c>
      <c r="AI40" s="50" t="str">
        <f t="shared" si="49"/>
        <v/>
      </c>
      <c r="AJ40" s="50" t="str">
        <f t="shared" si="50"/>
        <v/>
      </c>
      <c r="AK40" s="50" t="str">
        <f t="shared" si="51"/>
        <v/>
      </c>
      <c r="AL40" s="50" t="str">
        <f t="shared" si="52"/>
        <v/>
      </c>
      <c r="AM40" s="50" t="str">
        <f t="shared" si="53"/>
        <v/>
      </c>
      <c r="AN40" s="50" t="str">
        <f t="shared" si="54"/>
        <v/>
      </c>
      <c r="AO40" s="50" t="str">
        <f t="shared" si="55"/>
        <v/>
      </c>
      <c r="AP40" s="50" t="str">
        <f t="shared" si="56"/>
        <v/>
      </c>
      <c r="AQ40" s="50" t="str">
        <f t="shared" si="57"/>
        <v/>
      </c>
      <c r="AR40" s="50" t="str">
        <f t="shared" si="58"/>
        <v/>
      </c>
      <c r="AS40" s="50" t="str">
        <f t="shared" si="59"/>
        <v/>
      </c>
      <c r="AT40" s="50" t="str">
        <f t="shared" si="60"/>
        <v/>
      </c>
      <c r="AU40" s="50" t="str">
        <f t="shared" si="61"/>
        <v/>
      </c>
      <c r="AV40" s="50" t="str">
        <f t="shared" si="62"/>
        <v/>
      </c>
      <c r="AW40" s="50" t="str">
        <f t="shared" si="63"/>
        <v/>
      </c>
      <c r="AX40" s="50" t="str">
        <f t="shared" si="64"/>
        <v/>
      </c>
      <c r="AY40" s="50" t="str">
        <f t="shared" si="65"/>
        <v/>
      </c>
      <c r="AZ40" s="50" t="str">
        <f t="shared" si="66"/>
        <v/>
      </c>
      <c r="BA40" s="50" t="str">
        <f t="shared" si="67"/>
        <v/>
      </c>
      <c r="BB40" s="50" t="str">
        <f t="shared" si="68"/>
        <v/>
      </c>
      <c r="BD40" s="131">
        <f t="shared" si="34"/>
        <v>2665</v>
      </c>
    </row>
    <row r="41" spans="2:57" s="50" customFormat="1" ht="24.95" customHeight="1">
      <c r="B41" s="30">
        <f t="shared" si="35"/>
        <v>0.66666667166666682</v>
      </c>
      <c r="C41" s="31" t="s">
        <v>9</v>
      </c>
      <c r="D41" s="39">
        <f t="shared" si="69"/>
        <v>0.70833334166666684</v>
      </c>
      <c r="E41" s="40">
        <f>SUM('Raw data &amp; Hourly Summary'!E127,'Raw data &amp; Hourly Summary'!I127,'Raw data &amp; Hourly Summary'!M127,'Raw data &amp; Hourly Summary'!Q127,'Raw data &amp; Hourly Summary'!U127)</f>
        <v>710</v>
      </c>
      <c r="F41" s="269">
        <f>SUM('Raw data &amp; Hourly Summary'!F127,'Raw data &amp; Hourly Summary'!J127,'Raw data &amp; Hourly Summary'!N127,'Raw data &amp; Hourly Summary'!R127,'Raw data &amp; Hourly Summary'!V127)</f>
        <v>3</v>
      </c>
      <c r="G41" s="41">
        <f>SUM('Raw data &amp; Hourly Summary'!G127,'Raw data &amp; Hourly Summary'!K127,'Raw data &amp; Hourly Summary'!O127,'Raw data &amp; Hourly Summary'!S127,'Raw data &amp; Hourly Summary'!W127)</f>
        <v>14</v>
      </c>
      <c r="H41" s="42">
        <f t="shared" si="7"/>
        <v>727</v>
      </c>
      <c r="I41" s="40">
        <f>SUM('Raw data &amp; Hourly Summary'!Y127,'Raw data &amp; Hourly Summary'!AC127,'Raw data &amp; Hourly Summary'!AG127,'Raw data &amp; Hourly Summary'!AK127,'Raw data &amp; Hourly Summary'!AO127)</f>
        <v>299</v>
      </c>
      <c r="J41" s="269">
        <f>SUM('Raw data &amp; Hourly Summary'!Z127,'Raw data &amp; Hourly Summary'!AD127,'Raw data &amp; Hourly Summary'!AH127,'Raw data &amp; Hourly Summary'!AL127,'Raw data &amp; Hourly Summary'!AP127)</f>
        <v>3</v>
      </c>
      <c r="K41" s="41">
        <f>SUM('Raw data &amp; Hourly Summary'!AA127,'Raw data &amp; Hourly Summary'!AE127,'Raw data &amp; Hourly Summary'!AI127,'Raw data &amp; Hourly Summary'!AM127,'Raw data &amp; Hourly Summary'!AQ127)</f>
        <v>0</v>
      </c>
      <c r="L41" s="42">
        <f t="shared" si="8"/>
        <v>302</v>
      </c>
      <c r="M41" s="40">
        <f>SUM('Raw data &amp; Hourly Summary'!E159,'Raw data &amp; Hourly Summary'!I159,'Raw data &amp; Hourly Summary'!M159,'Raw data &amp; Hourly Summary'!Q159,'Raw data &amp; Hourly Summary'!U159)</f>
        <v>707</v>
      </c>
      <c r="N41" s="269">
        <f>SUM('Raw data &amp; Hourly Summary'!F159,'Raw data &amp; Hourly Summary'!J159,'Raw data &amp; Hourly Summary'!N159,'Raw data &amp; Hourly Summary'!R159,'Raw data &amp; Hourly Summary'!V159)</f>
        <v>4</v>
      </c>
      <c r="O41" s="41">
        <f>SUM('Raw data &amp; Hourly Summary'!G159,'Raw data &amp; Hourly Summary'!K159,'Raw data &amp; Hourly Summary'!O159,'Raw data &amp; Hourly Summary'!S159,'Raw data &amp; Hourly Summary'!W159)</f>
        <v>0</v>
      </c>
      <c r="P41" s="42">
        <f t="shared" si="9"/>
        <v>711</v>
      </c>
      <c r="Q41" s="40">
        <f>SUM('Raw data &amp; Hourly Summary'!Y159,'Raw data &amp; Hourly Summary'!AC159,'Raw data &amp; Hourly Summary'!AG159,'Raw data &amp; Hourly Summary'!AK159,'Raw data &amp; Hourly Summary'!AO159)</f>
        <v>684</v>
      </c>
      <c r="R41" s="269">
        <f>SUM('Raw data &amp; Hourly Summary'!Z159,'Raw data &amp; Hourly Summary'!AD159,'Raw data &amp; Hourly Summary'!AH159,'Raw data &amp; Hourly Summary'!AL159,'Raw data &amp; Hourly Summary'!AP159)</f>
        <v>13</v>
      </c>
      <c r="S41" s="41">
        <f>SUM('Raw data &amp; Hourly Summary'!AA159,'Raw data &amp; Hourly Summary'!AE159,'Raw data &amp; Hourly Summary'!AI159,'Raw data &amp; Hourly Summary'!AM159,'Raw data &amp; Hourly Summary'!AQ159)</f>
        <v>25</v>
      </c>
      <c r="T41" s="42">
        <f t="shared" si="70"/>
        <v>722</v>
      </c>
      <c r="U41" s="40">
        <f>SUM('Raw data &amp; Hourly Summary'!AS159,'Raw data &amp; Hourly Summary'!AW159,'Raw data &amp; Hourly Summary'!BA159,'Raw data &amp; Hourly Summary'!BE159,'Raw data &amp; Hourly Summary'!BI159)</f>
        <v>114</v>
      </c>
      <c r="V41" s="269">
        <f>SUM('Raw data &amp; Hourly Summary'!AT159,'Raw data &amp; Hourly Summary'!AX159,'Raw data &amp; Hourly Summary'!BB159,'Raw data &amp; Hourly Summary'!BF159,'Raw data &amp; Hourly Summary'!BJ159)</f>
        <v>0</v>
      </c>
      <c r="W41" s="41">
        <f>SUM('Raw data &amp; Hourly Summary'!AU159,'Raw data &amp; Hourly Summary'!AY159,'Raw data &amp; Hourly Summary'!BC159,'Raw data &amp; Hourly Summary'!BG159,'Raw data &amp; Hourly Summary'!BK159)</f>
        <v>0</v>
      </c>
      <c r="X41" s="42">
        <f t="shared" si="11"/>
        <v>114</v>
      </c>
      <c r="Y41" s="132">
        <f t="shared" si="36"/>
        <v>2576</v>
      </c>
      <c r="Z41" s="52"/>
      <c r="AA41" s="52"/>
      <c r="AB41" s="52"/>
      <c r="AG41" s="55" t="str">
        <f t="shared" si="47"/>
        <v/>
      </c>
      <c r="AH41" s="50" t="str">
        <f t="shared" si="48"/>
        <v/>
      </c>
      <c r="AI41" s="50" t="str">
        <f t="shared" si="49"/>
        <v/>
      </c>
      <c r="AJ41" s="50" t="str">
        <f t="shared" si="50"/>
        <v/>
      </c>
      <c r="AK41" s="50" t="str">
        <f t="shared" si="51"/>
        <v/>
      </c>
      <c r="AL41" s="50" t="str">
        <f t="shared" si="52"/>
        <v/>
      </c>
      <c r="AM41" s="50" t="str">
        <f t="shared" si="53"/>
        <v/>
      </c>
      <c r="AN41" s="50" t="str">
        <f t="shared" si="54"/>
        <v/>
      </c>
      <c r="AO41" s="50" t="str">
        <f t="shared" si="55"/>
        <v/>
      </c>
      <c r="AP41" s="50" t="str">
        <f t="shared" si="56"/>
        <v/>
      </c>
      <c r="AQ41" s="50" t="str">
        <f t="shared" si="57"/>
        <v/>
      </c>
      <c r="AR41" s="50" t="str">
        <f t="shared" si="58"/>
        <v/>
      </c>
      <c r="AS41" s="50" t="str">
        <f t="shared" si="59"/>
        <v/>
      </c>
      <c r="AT41" s="50" t="str">
        <f t="shared" si="60"/>
        <v/>
      </c>
      <c r="AU41" s="50" t="str">
        <f t="shared" si="61"/>
        <v/>
      </c>
      <c r="AV41" s="50" t="str">
        <f t="shared" si="62"/>
        <v/>
      </c>
      <c r="AW41" s="50" t="str">
        <f t="shared" si="63"/>
        <v/>
      </c>
      <c r="AX41" s="50" t="str">
        <f t="shared" si="64"/>
        <v/>
      </c>
      <c r="AY41" s="50" t="str">
        <f t="shared" si="65"/>
        <v/>
      </c>
      <c r="AZ41" s="50" t="str">
        <f t="shared" si="66"/>
        <v/>
      </c>
      <c r="BA41" s="50" t="str">
        <f t="shared" si="67"/>
        <v/>
      </c>
      <c r="BB41" s="50" t="str">
        <f t="shared" si="68"/>
        <v/>
      </c>
      <c r="BD41" s="131">
        <f t="shared" si="34"/>
        <v>2665</v>
      </c>
    </row>
    <row r="42" spans="2:57" s="50" customFormat="1" ht="24.95" customHeight="1">
      <c r="B42" s="30">
        <f t="shared" si="35"/>
        <v>0.67708333916666685</v>
      </c>
      <c r="C42" s="31" t="s">
        <v>9</v>
      </c>
      <c r="D42" s="39">
        <f t="shared" ref="D42:D47" si="71">SUM(0.04166667)+B42</f>
        <v>0.71875000916666687</v>
      </c>
      <c r="E42" s="40">
        <f>SUM('Raw data &amp; Hourly Summary'!E128,'Raw data &amp; Hourly Summary'!I128,'Raw data &amp; Hourly Summary'!M128,'Raw data &amp; Hourly Summary'!Q128,'Raw data &amp; Hourly Summary'!U128)</f>
        <v>742</v>
      </c>
      <c r="F42" s="269">
        <f>SUM('Raw data &amp; Hourly Summary'!F128,'Raw data &amp; Hourly Summary'!J128,'Raw data &amp; Hourly Summary'!N128,'Raw data &amp; Hourly Summary'!R128,'Raw data &amp; Hourly Summary'!V128)</f>
        <v>1</v>
      </c>
      <c r="G42" s="41">
        <f>SUM('Raw data &amp; Hourly Summary'!G128,'Raw data &amp; Hourly Summary'!K128,'Raw data &amp; Hourly Summary'!O128,'Raw data &amp; Hourly Summary'!S128,'Raw data &amp; Hourly Summary'!W128)</f>
        <v>14</v>
      </c>
      <c r="H42" s="42">
        <f t="shared" ref="H42:H47" si="72">SUM(E42:G42)</f>
        <v>757</v>
      </c>
      <c r="I42" s="40">
        <f>SUM('Raw data &amp; Hourly Summary'!Y128,'Raw data &amp; Hourly Summary'!AC128,'Raw data &amp; Hourly Summary'!AG128,'Raw data &amp; Hourly Summary'!AK128,'Raw data &amp; Hourly Summary'!AO128)</f>
        <v>328</v>
      </c>
      <c r="J42" s="269">
        <f>SUM('Raw data &amp; Hourly Summary'!Z128,'Raw data &amp; Hourly Summary'!AD128,'Raw data &amp; Hourly Summary'!AH128,'Raw data &amp; Hourly Summary'!AL128,'Raw data &amp; Hourly Summary'!AP128)</f>
        <v>2</v>
      </c>
      <c r="K42" s="41">
        <f>SUM('Raw data &amp; Hourly Summary'!AA128,'Raw data &amp; Hourly Summary'!AE128,'Raw data &amp; Hourly Summary'!AI128,'Raw data &amp; Hourly Summary'!AM128,'Raw data &amp; Hourly Summary'!AQ128)</f>
        <v>0</v>
      </c>
      <c r="L42" s="42">
        <f t="shared" ref="L42:L47" si="73">SUM(I42:K42)</f>
        <v>330</v>
      </c>
      <c r="M42" s="40">
        <f>SUM('Raw data &amp; Hourly Summary'!E160,'Raw data &amp; Hourly Summary'!I160,'Raw data &amp; Hourly Summary'!M160,'Raw data &amp; Hourly Summary'!Q160,'Raw data &amp; Hourly Summary'!U160)</f>
        <v>759</v>
      </c>
      <c r="N42" s="269">
        <f>SUM('Raw data &amp; Hourly Summary'!F160,'Raw data &amp; Hourly Summary'!J160,'Raw data &amp; Hourly Summary'!N160,'Raw data &amp; Hourly Summary'!R160,'Raw data &amp; Hourly Summary'!V160)</f>
        <v>6</v>
      </c>
      <c r="O42" s="41">
        <f>SUM('Raw data &amp; Hourly Summary'!G160,'Raw data &amp; Hourly Summary'!K160,'Raw data &amp; Hourly Summary'!O160,'Raw data &amp; Hourly Summary'!S160,'Raw data &amp; Hourly Summary'!W160)</f>
        <v>0</v>
      </c>
      <c r="P42" s="42">
        <f t="shared" ref="P42:P47" si="74">SUM(M42:O42)</f>
        <v>765</v>
      </c>
      <c r="Q42" s="40">
        <f>SUM('Raw data &amp; Hourly Summary'!Y160,'Raw data &amp; Hourly Summary'!AC160,'Raw data &amp; Hourly Summary'!AG160,'Raw data &amp; Hourly Summary'!AK160,'Raw data &amp; Hourly Summary'!AO160)</f>
        <v>656</v>
      </c>
      <c r="R42" s="269">
        <f>SUM('Raw data &amp; Hourly Summary'!Z160,'Raw data &amp; Hourly Summary'!AD160,'Raw data &amp; Hourly Summary'!AH160,'Raw data &amp; Hourly Summary'!AL160,'Raw data &amp; Hourly Summary'!AP160)</f>
        <v>9</v>
      </c>
      <c r="S42" s="41">
        <f>SUM('Raw data &amp; Hourly Summary'!AA160,'Raw data &amp; Hourly Summary'!AE160,'Raw data &amp; Hourly Summary'!AI160,'Raw data &amp; Hourly Summary'!AM160,'Raw data &amp; Hourly Summary'!AQ160)</f>
        <v>22</v>
      </c>
      <c r="T42" s="42">
        <f t="shared" ref="T42:T47" si="75">SUM(Q42:S42)</f>
        <v>687</v>
      </c>
      <c r="U42" s="40">
        <f>SUM('Raw data &amp; Hourly Summary'!AS160,'Raw data &amp; Hourly Summary'!AW160,'Raw data &amp; Hourly Summary'!BA160,'Raw data &amp; Hourly Summary'!BE160,'Raw data &amp; Hourly Summary'!BI160)</f>
        <v>126</v>
      </c>
      <c r="V42" s="269">
        <f>SUM('Raw data &amp; Hourly Summary'!AT160,'Raw data &amp; Hourly Summary'!AX160,'Raw data &amp; Hourly Summary'!BB160,'Raw data &amp; Hourly Summary'!BF160,'Raw data &amp; Hourly Summary'!BJ160)</f>
        <v>0</v>
      </c>
      <c r="W42" s="41">
        <f>SUM('Raw data &amp; Hourly Summary'!AU160,'Raw data &amp; Hourly Summary'!AY160,'Raw data &amp; Hourly Summary'!BC160,'Raw data &amp; Hourly Summary'!BG160,'Raw data &amp; Hourly Summary'!BK160)</f>
        <v>0</v>
      </c>
      <c r="X42" s="42">
        <f t="shared" ref="X42:X47" si="76">SUM(U42:W42)</f>
        <v>126</v>
      </c>
      <c r="Y42" s="132">
        <f t="shared" ref="Y42:Y47" si="77">H42+L42+P42+T42+X42</f>
        <v>2665</v>
      </c>
      <c r="Z42" s="52"/>
      <c r="AA42" s="52"/>
      <c r="AB42" s="52"/>
      <c r="AG42" s="55">
        <f t="shared" ref="AG42:AG47" si="78">IF($BD42=$Y42,B42,"")</f>
        <v>0.67708333916666685</v>
      </c>
      <c r="AH42" s="50">
        <f t="shared" ref="AH42:AH47" si="79">IF($BD42=$Y42,E42,"")</f>
        <v>742</v>
      </c>
      <c r="AI42" s="50">
        <f t="shared" si="49"/>
        <v>1</v>
      </c>
      <c r="AJ42" s="50">
        <f t="shared" si="50"/>
        <v>14</v>
      </c>
      <c r="AK42" s="50">
        <f t="shared" si="51"/>
        <v>757</v>
      </c>
      <c r="AL42" s="50">
        <f t="shared" si="52"/>
        <v>328</v>
      </c>
      <c r="AM42" s="50">
        <f t="shared" si="53"/>
        <v>2</v>
      </c>
      <c r="AN42" s="50">
        <f t="shared" si="54"/>
        <v>0</v>
      </c>
      <c r="AO42" s="50">
        <f t="shared" si="55"/>
        <v>330</v>
      </c>
      <c r="AP42" s="50">
        <f t="shared" si="56"/>
        <v>759</v>
      </c>
      <c r="AQ42" s="50">
        <f t="shared" si="57"/>
        <v>6</v>
      </c>
      <c r="AR42" s="50">
        <f t="shared" si="58"/>
        <v>0</v>
      </c>
      <c r="AS42" s="50">
        <f t="shared" si="59"/>
        <v>765</v>
      </c>
      <c r="AT42" s="50">
        <f t="shared" si="60"/>
        <v>656</v>
      </c>
      <c r="AU42" s="50">
        <f t="shared" si="61"/>
        <v>9</v>
      </c>
      <c r="AV42" s="50">
        <f t="shared" si="62"/>
        <v>22</v>
      </c>
      <c r="AW42" s="50">
        <f t="shared" si="63"/>
        <v>687</v>
      </c>
      <c r="AX42" s="50">
        <f t="shared" si="64"/>
        <v>126</v>
      </c>
      <c r="AY42" s="50">
        <f t="shared" si="65"/>
        <v>0</v>
      </c>
      <c r="AZ42" s="50">
        <f t="shared" si="66"/>
        <v>0</v>
      </c>
      <c r="BA42" s="50">
        <f t="shared" si="67"/>
        <v>126</v>
      </c>
      <c r="BB42" s="50">
        <f t="shared" si="68"/>
        <v>2665</v>
      </c>
      <c r="BD42" s="131">
        <f t="shared" si="34"/>
        <v>2665</v>
      </c>
    </row>
    <row r="43" spans="2:57" s="50" customFormat="1" ht="24.95" customHeight="1">
      <c r="B43" s="30">
        <f t="shared" si="35"/>
        <v>0.68750000666666689</v>
      </c>
      <c r="C43" s="31" t="s">
        <v>9</v>
      </c>
      <c r="D43" s="39">
        <f t="shared" si="71"/>
        <v>0.7291666766666669</v>
      </c>
      <c r="E43" s="40">
        <f>SUM('Raw data &amp; Hourly Summary'!E129,'Raw data &amp; Hourly Summary'!I129,'Raw data &amp; Hourly Summary'!M129,'Raw data &amp; Hourly Summary'!Q129,'Raw data &amp; Hourly Summary'!U129)</f>
        <v>745</v>
      </c>
      <c r="F43" s="269">
        <f>SUM('Raw data &amp; Hourly Summary'!F129,'Raw data &amp; Hourly Summary'!J129,'Raw data &amp; Hourly Summary'!N129,'Raw data &amp; Hourly Summary'!R129,'Raw data &amp; Hourly Summary'!V129)</f>
        <v>0</v>
      </c>
      <c r="G43" s="41">
        <f>SUM('Raw data &amp; Hourly Summary'!G129,'Raw data &amp; Hourly Summary'!K129,'Raw data &amp; Hourly Summary'!O129,'Raw data &amp; Hourly Summary'!S129,'Raw data &amp; Hourly Summary'!W129)</f>
        <v>16</v>
      </c>
      <c r="H43" s="42">
        <f t="shared" si="72"/>
        <v>761</v>
      </c>
      <c r="I43" s="40">
        <f>SUM('Raw data &amp; Hourly Summary'!Y129,'Raw data &amp; Hourly Summary'!AC129,'Raw data &amp; Hourly Summary'!AG129,'Raw data &amp; Hourly Summary'!AK129,'Raw data &amp; Hourly Summary'!AO129)</f>
        <v>348</v>
      </c>
      <c r="J43" s="269">
        <f>SUM('Raw data &amp; Hourly Summary'!Z129,'Raw data &amp; Hourly Summary'!AD129,'Raw data &amp; Hourly Summary'!AH129,'Raw data &amp; Hourly Summary'!AL129,'Raw data &amp; Hourly Summary'!AP129)</f>
        <v>2</v>
      </c>
      <c r="K43" s="41">
        <f>SUM('Raw data &amp; Hourly Summary'!AA129,'Raw data &amp; Hourly Summary'!AE129,'Raw data &amp; Hourly Summary'!AI129,'Raw data &amp; Hourly Summary'!AM129,'Raw data &amp; Hourly Summary'!AQ129)</f>
        <v>0</v>
      </c>
      <c r="L43" s="42">
        <f t="shared" si="73"/>
        <v>350</v>
      </c>
      <c r="M43" s="40">
        <f>SUM('Raw data &amp; Hourly Summary'!E161,'Raw data &amp; Hourly Summary'!I161,'Raw data &amp; Hourly Summary'!M161,'Raw data &amp; Hourly Summary'!Q161,'Raw data &amp; Hourly Summary'!U161)</f>
        <v>740</v>
      </c>
      <c r="N43" s="269">
        <f>SUM('Raw data &amp; Hourly Summary'!F161,'Raw data &amp; Hourly Summary'!J161,'Raw data &amp; Hourly Summary'!N161,'Raw data &amp; Hourly Summary'!R161,'Raw data &amp; Hourly Summary'!V161)</f>
        <v>5</v>
      </c>
      <c r="O43" s="41">
        <f>SUM('Raw data &amp; Hourly Summary'!G161,'Raw data &amp; Hourly Summary'!K161,'Raw data &amp; Hourly Summary'!O161,'Raw data &amp; Hourly Summary'!S161,'Raw data &amp; Hourly Summary'!W161)</f>
        <v>0</v>
      </c>
      <c r="P43" s="42">
        <f t="shared" si="74"/>
        <v>745</v>
      </c>
      <c r="Q43" s="40">
        <f>SUM('Raw data &amp; Hourly Summary'!Y161,'Raw data &amp; Hourly Summary'!AC161,'Raw data &amp; Hourly Summary'!AG161,'Raw data &amp; Hourly Summary'!AK161,'Raw data &amp; Hourly Summary'!AO161)</f>
        <v>648</v>
      </c>
      <c r="R43" s="269">
        <f>SUM('Raw data &amp; Hourly Summary'!Z161,'Raw data &amp; Hourly Summary'!AD161,'Raw data &amp; Hourly Summary'!AH161,'Raw data &amp; Hourly Summary'!AL161,'Raw data &amp; Hourly Summary'!AP161)</f>
        <v>6</v>
      </c>
      <c r="S43" s="41">
        <f>SUM('Raw data &amp; Hourly Summary'!AA161,'Raw data &amp; Hourly Summary'!AE161,'Raw data &amp; Hourly Summary'!AI161,'Raw data &amp; Hourly Summary'!AM161,'Raw data &amp; Hourly Summary'!AQ161)</f>
        <v>21</v>
      </c>
      <c r="T43" s="42">
        <f t="shared" si="75"/>
        <v>675</v>
      </c>
      <c r="U43" s="40">
        <f>SUM('Raw data &amp; Hourly Summary'!AS161,'Raw data &amp; Hourly Summary'!AW161,'Raw data &amp; Hourly Summary'!BA161,'Raw data &amp; Hourly Summary'!BE161,'Raw data &amp; Hourly Summary'!BI161)</f>
        <v>123</v>
      </c>
      <c r="V43" s="269">
        <f>SUM('Raw data &amp; Hourly Summary'!AT161,'Raw data &amp; Hourly Summary'!AX161,'Raw data &amp; Hourly Summary'!BB161,'Raw data &amp; Hourly Summary'!BF161,'Raw data &amp; Hourly Summary'!BJ161)</f>
        <v>0</v>
      </c>
      <c r="W43" s="41">
        <f>SUM('Raw data &amp; Hourly Summary'!AU161,'Raw data &amp; Hourly Summary'!AY161,'Raw data &amp; Hourly Summary'!BC161,'Raw data &amp; Hourly Summary'!BG161,'Raw data &amp; Hourly Summary'!BK161)</f>
        <v>0</v>
      </c>
      <c r="X43" s="42">
        <f t="shared" si="76"/>
        <v>123</v>
      </c>
      <c r="Y43" s="132">
        <f t="shared" si="77"/>
        <v>2654</v>
      </c>
      <c r="Z43" s="52"/>
      <c r="AA43" s="52"/>
      <c r="AB43" s="52"/>
      <c r="AG43" s="55" t="str">
        <f t="shared" si="78"/>
        <v/>
      </c>
      <c r="AH43" s="50" t="str">
        <f t="shared" si="79"/>
        <v/>
      </c>
      <c r="AI43" s="50" t="str">
        <f t="shared" si="49"/>
        <v/>
      </c>
      <c r="AJ43" s="50" t="str">
        <f t="shared" si="50"/>
        <v/>
      </c>
      <c r="AK43" s="50" t="str">
        <f t="shared" si="51"/>
        <v/>
      </c>
      <c r="AL43" s="50" t="str">
        <f t="shared" si="52"/>
        <v/>
      </c>
      <c r="AM43" s="50" t="str">
        <f t="shared" si="53"/>
        <v/>
      </c>
      <c r="AN43" s="50" t="str">
        <f t="shared" si="54"/>
        <v/>
      </c>
      <c r="AO43" s="50" t="str">
        <f t="shared" si="55"/>
        <v/>
      </c>
      <c r="AP43" s="50" t="str">
        <f t="shared" si="56"/>
        <v/>
      </c>
      <c r="AQ43" s="50" t="str">
        <f t="shared" si="57"/>
        <v/>
      </c>
      <c r="AR43" s="50" t="str">
        <f t="shared" si="58"/>
        <v/>
      </c>
      <c r="AS43" s="50" t="str">
        <f t="shared" si="59"/>
        <v/>
      </c>
      <c r="AT43" s="50" t="str">
        <f t="shared" si="60"/>
        <v/>
      </c>
      <c r="AU43" s="50" t="str">
        <f t="shared" si="61"/>
        <v/>
      </c>
      <c r="AV43" s="50" t="str">
        <f t="shared" si="62"/>
        <v/>
      </c>
      <c r="AW43" s="50" t="str">
        <f t="shared" si="63"/>
        <v/>
      </c>
      <c r="AX43" s="50" t="str">
        <f t="shared" si="64"/>
        <v/>
      </c>
      <c r="AY43" s="50" t="str">
        <f t="shared" si="65"/>
        <v/>
      </c>
      <c r="AZ43" s="50" t="str">
        <f t="shared" si="66"/>
        <v/>
      </c>
      <c r="BA43" s="50" t="str">
        <f t="shared" si="67"/>
        <v/>
      </c>
      <c r="BB43" s="50" t="str">
        <f t="shared" si="68"/>
        <v/>
      </c>
      <c r="BD43" s="131">
        <f t="shared" si="34"/>
        <v>2665</v>
      </c>
    </row>
    <row r="44" spans="2:57" s="50" customFormat="1" ht="24.95" customHeight="1">
      <c r="B44" s="30">
        <f t="shared" si="35"/>
        <v>0.69791667416666692</v>
      </c>
      <c r="C44" s="31" t="s">
        <v>9</v>
      </c>
      <c r="D44" s="39">
        <f t="shared" si="71"/>
        <v>0.73958334416666693</v>
      </c>
      <c r="E44" s="40">
        <f>SUM('Raw data &amp; Hourly Summary'!E130,'Raw data &amp; Hourly Summary'!I130,'Raw data &amp; Hourly Summary'!M130,'Raw data &amp; Hourly Summary'!Q130,'Raw data &amp; Hourly Summary'!U130)</f>
        <v>684</v>
      </c>
      <c r="F44" s="269">
        <f>SUM('Raw data &amp; Hourly Summary'!F130,'Raw data &amp; Hourly Summary'!J130,'Raw data &amp; Hourly Summary'!N130,'Raw data &amp; Hourly Summary'!R130,'Raw data &amp; Hourly Summary'!V130)</f>
        <v>2</v>
      </c>
      <c r="G44" s="41">
        <f>SUM('Raw data &amp; Hourly Summary'!G130,'Raw data &amp; Hourly Summary'!K130,'Raw data &amp; Hourly Summary'!O130,'Raw data &amp; Hourly Summary'!S130,'Raw data &amp; Hourly Summary'!W130)</f>
        <v>16</v>
      </c>
      <c r="H44" s="42">
        <f t="shared" si="72"/>
        <v>702</v>
      </c>
      <c r="I44" s="40">
        <f>SUM('Raw data &amp; Hourly Summary'!Y130,'Raw data &amp; Hourly Summary'!AC130,'Raw data &amp; Hourly Summary'!AG130,'Raw data &amp; Hourly Summary'!AK130,'Raw data &amp; Hourly Summary'!AO130)</f>
        <v>350</v>
      </c>
      <c r="J44" s="269">
        <f>SUM('Raw data &amp; Hourly Summary'!Z130,'Raw data &amp; Hourly Summary'!AD130,'Raw data &amp; Hourly Summary'!AH130,'Raw data &amp; Hourly Summary'!AL130,'Raw data &amp; Hourly Summary'!AP130)</f>
        <v>3</v>
      </c>
      <c r="K44" s="41">
        <f>SUM('Raw data &amp; Hourly Summary'!AA130,'Raw data &amp; Hourly Summary'!AE130,'Raw data &amp; Hourly Summary'!AI130,'Raw data &amp; Hourly Summary'!AM130,'Raw data &amp; Hourly Summary'!AQ130)</f>
        <v>0</v>
      </c>
      <c r="L44" s="42">
        <f t="shared" si="73"/>
        <v>353</v>
      </c>
      <c r="M44" s="40">
        <f>SUM('Raw data &amp; Hourly Summary'!E162,'Raw data &amp; Hourly Summary'!I162,'Raw data &amp; Hourly Summary'!M162,'Raw data &amp; Hourly Summary'!Q162,'Raw data &amp; Hourly Summary'!U162)</f>
        <v>755</v>
      </c>
      <c r="N44" s="269">
        <f>SUM('Raw data &amp; Hourly Summary'!F162,'Raw data &amp; Hourly Summary'!J162,'Raw data &amp; Hourly Summary'!N162,'Raw data &amp; Hourly Summary'!R162,'Raw data &amp; Hourly Summary'!V162)</f>
        <v>4</v>
      </c>
      <c r="O44" s="41">
        <f>SUM('Raw data &amp; Hourly Summary'!G162,'Raw data &amp; Hourly Summary'!K162,'Raw data &amp; Hourly Summary'!O162,'Raw data &amp; Hourly Summary'!S162,'Raw data &amp; Hourly Summary'!W162)</f>
        <v>0</v>
      </c>
      <c r="P44" s="42">
        <f t="shared" si="74"/>
        <v>759</v>
      </c>
      <c r="Q44" s="40">
        <f>SUM('Raw data &amp; Hourly Summary'!Y162,'Raw data &amp; Hourly Summary'!AC162,'Raw data &amp; Hourly Summary'!AG162,'Raw data &amp; Hourly Summary'!AK162,'Raw data &amp; Hourly Summary'!AO162)</f>
        <v>651</v>
      </c>
      <c r="R44" s="269">
        <f>SUM('Raw data &amp; Hourly Summary'!Z162,'Raw data &amp; Hourly Summary'!AD162,'Raw data &amp; Hourly Summary'!AH162,'Raw data &amp; Hourly Summary'!AL162,'Raw data &amp; Hourly Summary'!AP162)</f>
        <v>8</v>
      </c>
      <c r="S44" s="41">
        <f>SUM('Raw data &amp; Hourly Summary'!AA162,'Raw data &amp; Hourly Summary'!AE162,'Raw data &amp; Hourly Summary'!AI162,'Raw data &amp; Hourly Summary'!AM162,'Raw data &amp; Hourly Summary'!AQ162)</f>
        <v>19</v>
      </c>
      <c r="T44" s="42">
        <f t="shared" si="75"/>
        <v>678</v>
      </c>
      <c r="U44" s="40">
        <f>SUM('Raw data &amp; Hourly Summary'!AS162,'Raw data &amp; Hourly Summary'!AW162,'Raw data &amp; Hourly Summary'!BA162,'Raw data &amp; Hourly Summary'!BE162,'Raw data &amp; Hourly Summary'!BI162)</f>
        <v>130</v>
      </c>
      <c r="V44" s="269">
        <f>SUM('Raw data &amp; Hourly Summary'!AT162,'Raw data &amp; Hourly Summary'!AX162,'Raw data &amp; Hourly Summary'!BB162,'Raw data &amp; Hourly Summary'!BF162,'Raw data &amp; Hourly Summary'!BJ162)</f>
        <v>0</v>
      </c>
      <c r="W44" s="41">
        <f>SUM('Raw data &amp; Hourly Summary'!AU162,'Raw data &amp; Hourly Summary'!AY162,'Raw data &amp; Hourly Summary'!BC162,'Raw data &amp; Hourly Summary'!BG162,'Raw data &amp; Hourly Summary'!BK162)</f>
        <v>0</v>
      </c>
      <c r="X44" s="42">
        <f t="shared" si="76"/>
        <v>130</v>
      </c>
      <c r="Y44" s="132">
        <f t="shared" si="77"/>
        <v>2622</v>
      </c>
      <c r="Z44" s="52"/>
      <c r="AA44" s="52"/>
      <c r="AB44" s="52"/>
      <c r="AG44" s="55" t="str">
        <f t="shared" si="78"/>
        <v/>
      </c>
      <c r="AH44" s="50" t="str">
        <f t="shared" si="79"/>
        <v/>
      </c>
      <c r="AI44" s="50" t="str">
        <f t="shared" si="49"/>
        <v/>
      </c>
      <c r="AJ44" s="50" t="str">
        <f t="shared" si="50"/>
        <v/>
      </c>
      <c r="AK44" s="50" t="str">
        <f t="shared" si="51"/>
        <v/>
      </c>
      <c r="AL44" s="50" t="str">
        <f t="shared" si="52"/>
        <v/>
      </c>
      <c r="AM44" s="50" t="str">
        <f t="shared" si="53"/>
        <v/>
      </c>
      <c r="AN44" s="50" t="str">
        <f t="shared" si="54"/>
        <v/>
      </c>
      <c r="AO44" s="50" t="str">
        <f t="shared" si="55"/>
        <v/>
      </c>
      <c r="AP44" s="50" t="str">
        <f t="shared" si="56"/>
        <v/>
      </c>
      <c r="AQ44" s="50" t="str">
        <f t="shared" si="57"/>
        <v/>
      </c>
      <c r="AR44" s="50" t="str">
        <f t="shared" si="58"/>
        <v/>
      </c>
      <c r="AS44" s="50" t="str">
        <f t="shared" si="59"/>
        <v/>
      </c>
      <c r="AT44" s="50" t="str">
        <f t="shared" si="60"/>
        <v/>
      </c>
      <c r="AU44" s="50" t="str">
        <f t="shared" si="61"/>
        <v/>
      </c>
      <c r="AV44" s="50" t="str">
        <f t="shared" si="62"/>
        <v/>
      </c>
      <c r="AW44" s="50" t="str">
        <f t="shared" si="63"/>
        <v/>
      </c>
      <c r="AX44" s="50" t="str">
        <f t="shared" si="64"/>
        <v/>
      </c>
      <c r="AY44" s="50" t="str">
        <f t="shared" si="65"/>
        <v/>
      </c>
      <c r="AZ44" s="50" t="str">
        <f t="shared" si="66"/>
        <v/>
      </c>
      <c r="BA44" s="50" t="str">
        <f t="shared" si="67"/>
        <v/>
      </c>
      <c r="BB44" s="50" t="str">
        <f t="shared" si="68"/>
        <v/>
      </c>
      <c r="BD44" s="131">
        <f t="shared" si="34"/>
        <v>2665</v>
      </c>
    </row>
    <row r="45" spans="2:57" s="50" customFormat="1" ht="24.95" customHeight="1">
      <c r="B45" s="30">
        <f t="shared" si="35"/>
        <v>0.70833334166666695</v>
      </c>
      <c r="C45" s="31" t="s">
        <v>9</v>
      </c>
      <c r="D45" s="39">
        <f t="shared" si="71"/>
        <v>0.75000001166666697</v>
      </c>
      <c r="E45" s="40">
        <f>SUM('Raw data &amp; Hourly Summary'!E131,'Raw data &amp; Hourly Summary'!I131,'Raw data &amp; Hourly Summary'!M131,'Raw data &amp; Hourly Summary'!Q131,'Raw data &amp; Hourly Summary'!U131)</f>
        <v>673</v>
      </c>
      <c r="F45" s="269">
        <f>SUM('Raw data &amp; Hourly Summary'!F131,'Raw data &amp; Hourly Summary'!J131,'Raw data &amp; Hourly Summary'!N131,'Raw data &amp; Hourly Summary'!R131,'Raw data &amp; Hourly Summary'!V131)</f>
        <v>2</v>
      </c>
      <c r="G45" s="41">
        <f>SUM('Raw data &amp; Hourly Summary'!G131,'Raw data &amp; Hourly Summary'!K131,'Raw data &amp; Hourly Summary'!O131,'Raw data &amp; Hourly Summary'!S131,'Raw data &amp; Hourly Summary'!W131)</f>
        <v>18</v>
      </c>
      <c r="H45" s="42">
        <f t="shared" si="72"/>
        <v>693</v>
      </c>
      <c r="I45" s="40">
        <f>SUM('Raw data &amp; Hourly Summary'!Y131,'Raw data &amp; Hourly Summary'!AC131,'Raw data &amp; Hourly Summary'!AG131,'Raw data &amp; Hourly Summary'!AK131,'Raw data &amp; Hourly Summary'!AO131)</f>
        <v>322</v>
      </c>
      <c r="J45" s="269">
        <f>SUM('Raw data &amp; Hourly Summary'!Z131,'Raw data &amp; Hourly Summary'!AD131,'Raw data &amp; Hourly Summary'!AH131,'Raw data &amp; Hourly Summary'!AL131,'Raw data &amp; Hourly Summary'!AP131)</f>
        <v>3</v>
      </c>
      <c r="K45" s="41">
        <f>SUM('Raw data &amp; Hourly Summary'!AA131,'Raw data &amp; Hourly Summary'!AE131,'Raw data &amp; Hourly Summary'!AI131,'Raw data &amp; Hourly Summary'!AM131,'Raw data &amp; Hourly Summary'!AQ131)</f>
        <v>0</v>
      </c>
      <c r="L45" s="42">
        <f t="shared" si="73"/>
        <v>325</v>
      </c>
      <c r="M45" s="40">
        <f>SUM('Raw data &amp; Hourly Summary'!E163,'Raw data &amp; Hourly Summary'!I163,'Raw data &amp; Hourly Summary'!M163,'Raw data &amp; Hourly Summary'!Q163,'Raw data &amp; Hourly Summary'!U163)</f>
        <v>750</v>
      </c>
      <c r="N45" s="269">
        <f>SUM('Raw data &amp; Hourly Summary'!F163,'Raw data &amp; Hourly Summary'!J163,'Raw data &amp; Hourly Summary'!N163,'Raw data &amp; Hourly Summary'!R163,'Raw data &amp; Hourly Summary'!V163)</f>
        <v>5</v>
      </c>
      <c r="O45" s="41">
        <f>SUM('Raw data &amp; Hourly Summary'!G163,'Raw data &amp; Hourly Summary'!K163,'Raw data &amp; Hourly Summary'!O163,'Raw data &amp; Hourly Summary'!S163,'Raw data &amp; Hourly Summary'!W163)</f>
        <v>0</v>
      </c>
      <c r="P45" s="42">
        <f t="shared" si="74"/>
        <v>755</v>
      </c>
      <c r="Q45" s="40">
        <f>SUM('Raw data &amp; Hourly Summary'!Y163,'Raw data &amp; Hourly Summary'!AC163,'Raw data &amp; Hourly Summary'!AG163,'Raw data &amp; Hourly Summary'!AK163,'Raw data &amp; Hourly Summary'!AO163)</f>
        <v>621</v>
      </c>
      <c r="R45" s="269">
        <f>SUM('Raw data &amp; Hourly Summary'!Z163,'Raw data &amp; Hourly Summary'!AD163,'Raw data &amp; Hourly Summary'!AH163,'Raw data &amp; Hourly Summary'!AL163,'Raw data &amp; Hourly Summary'!AP163)</f>
        <v>4</v>
      </c>
      <c r="S45" s="41">
        <f>SUM('Raw data &amp; Hourly Summary'!AA163,'Raw data &amp; Hourly Summary'!AE163,'Raw data &amp; Hourly Summary'!AI163,'Raw data &amp; Hourly Summary'!AM163,'Raw data &amp; Hourly Summary'!AQ163)</f>
        <v>23</v>
      </c>
      <c r="T45" s="42">
        <f t="shared" si="75"/>
        <v>648</v>
      </c>
      <c r="U45" s="40">
        <f>SUM('Raw data &amp; Hourly Summary'!AS163,'Raw data &amp; Hourly Summary'!AW163,'Raw data &amp; Hourly Summary'!BA163,'Raw data &amp; Hourly Summary'!BE163,'Raw data &amp; Hourly Summary'!BI163)</f>
        <v>132</v>
      </c>
      <c r="V45" s="269">
        <f>SUM('Raw data &amp; Hourly Summary'!AT163,'Raw data &amp; Hourly Summary'!AX163,'Raw data &amp; Hourly Summary'!BB163,'Raw data &amp; Hourly Summary'!BF163,'Raw data &amp; Hourly Summary'!BJ163)</f>
        <v>0</v>
      </c>
      <c r="W45" s="41">
        <f>SUM('Raw data &amp; Hourly Summary'!AU163,'Raw data &amp; Hourly Summary'!AY163,'Raw data &amp; Hourly Summary'!BC163,'Raw data &amp; Hourly Summary'!BG163,'Raw data &amp; Hourly Summary'!BK163)</f>
        <v>0</v>
      </c>
      <c r="X45" s="42">
        <f t="shared" si="76"/>
        <v>132</v>
      </c>
      <c r="Y45" s="132">
        <f t="shared" si="77"/>
        <v>2553</v>
      </c>
      <c r="Z45" s="52"/>
      <c r="AA45" s="52"/>
      <c r="AB45" s="52"/>
      <c r="AG45" s="55" t="str">
        <f t="shared" si="78"/>
        <v/>
      </c>
      <c r="AH45" s="50" t="str">
        <f t="shared" si="79"/>
        <v/>
      </c>
      <c r="AI45" s="50" t="str">
        <f t="shared" si="49"/>
        <v/>
      </c>
      <c r="AJ45" s="50" t="str">
        <f t="shared" si="50"/>
        <v/>
      </c>
      <c r="AK45" s="50" t="str">
        <f t="shared" si="51"/>
        <v/>
      </c>
      <c r="AL45" s="50" t="str">
        <f t="shared" si="52"/>
        <v/>
      </c>
      <c r="AM45" s="50" t="str">
        <f t="shared" si="53"/>
        <v/>
      </c>
      <c r="AN45" s="50" t="str">
        <f t="shared" si="54"/>
        <v/>
      </c>
      <c r="AO45" s="50" t="str">
        <f t="shared" si="55"/>
        <v/>
      </c>
      <c r="AP45" s="50" t="str">
        <f t="shared" si="56"/>
        <v/>
      </c>
      <c r="AQ45" s="50" t="str">
        <f t="shared" si="57"/>
        <v/>
      </c>
      <c r="AR45" s="50" t="str">
        <f t="shared" si="58"/>
        <v/>
      </c>
      <c r="AS45" s="50" t="str">
        <f t="shared" si="59"/>
        <v/>
      </c>
      <c r="AT45" s="50" t="str">
        <f t="shared" si="60"/>
        <v/>
      </c>
      <c r="AU45" s="50" t="str">
        <f t="shared" si="61"/>
        <v/>
      </c>
      <c r="AV45" s="50" t="str">
        <f t="shared" si="62"/>
        <v/>
      </c>
      <c r="AW45" s="50" t="str">
        <f t="shared" si="63"/>
        <v/>
      </c>
      <c r="AX45" s="50" t="str">
        <f t="shared" si="64"/>
        <v/>
      </c>
      <c r="AY45" s="50" t="str">
        <f t="shared" si="65"/>
        <v/>
      </c>
      <c r="AZ45" s="50" t="str">
        <f t="shared" si="66"/>
        <v/>
      </c>
      <c r="BA45" s="50" t="str">
        <f t="shared" si="67"/>
        <v/>
      </c>
      <c r="BB45" s="50" t="str">
        <f t="shared" si="68"/>
        <v/>
      </c>
      <c r="BD45" s="131">
        <f t="shared" si="34"/>
        <v>2665</v>
      </c>
    </row>
    <row r="46" spans="2:57" s="50" customFormat="1" ht="24.95" customHeight="1">
      <c r="B46" s="30">
        <f t="shared" si="35"/>
        <v>0.71875000916666698</v>
      </c>
      <c r="C46" s="31" t="s">
        <v>9</v>
      </c>
      <c r="D46" s="39">
        <f t="shared" si="71"/>
        <v>0.760416679166667</v>
      </c>
      <c r="E46" s="40">
        <f>SUM('Raw data &amp; Hourly Summary'!E132,'Raw data &amp; Hourly Summary'!I132,'Raw data &amp; Hourly Summary'!M132,'Raw data &amp; Hourly Summary'!Q132,'Raw data &amp; Hourly Summary'!U132)</f>
        <v>643</v>
      </c>
      <c r="F46" s="269">
        <f>SUM('Raw data &amp; Hourly Summary'!F132,'Raw data &amp; Hourly Summary'!J132,'Raw data &amp; Hourly Summary'!N132,'Raw data &amp; Hourly Summary'!R132,'Raw data &amp; Hourly Summary'!V132)</f>
        <v>2</v>
      </c>
      <c r="G46" s="41">
        <f>SUM('Raw data &amp; Hourly Summary'!G132,'Raw data &amp; Hourly Summary'!K132,'Raw data &amp; Hourly Summary'!O132,'Raw data &amp; Hourly Summary'!S132,'Raw data &amp; Hourly Summary'!W132)</f>
        <v>17</v>
      </c>
      <c r="H46" s="42">
        <f t="shared" si="72"/>
        <v>662</v>
      </c>
      <c r="I46" s="40">
        <f>SUM('Raw data &amp; Hourly Summary'!Y132,'Raw data &amp; Hourly Summary'!AC132,'Raw data &amp; Hourly Summary'!AG132,'Raw data &amp; Hourly Summary'!AK132,'Raw data &amp; Hourly Summary'!AO132)</f>
        <v>299</v>
      </c>
      <c r="J46" s="269">
        <f>SUM('Raw data &amp; Hourly Summary'!Z132,'Raw data &amp; Hourly Summary'!AD132,'Raw data &amp; Hourly Summary'!AH132,'Raw data &amp; Hourly Summary'!AL132,'Raw data &amp; Hourly Summary'!AP132)</f>
        <v>2</v>
      </c>
      <c r="K46" s="41">
        <f>SUM('Raw data &amp; Hourly Summary'!AA132,'Raw data &amp; Hourly Summary'!AE132,'Raw data &amp; Hourly Summary'!AI132,'Raw data &amp; Hourly Summary'!AM132,'Raw data &amp; Hourly Summary'!AQ132)</f>
        <v>0</v>
      </c>
      <c r="L46" s="42">
        <f t="shared" si="73"/>
        <v>301</v>
      </c>
      <c r="M46" s="40">
        <f>SUM('Raw data &amp; Hourly Summary'!E164,'Raw data &amp; Hourly Summary'!I164,'Raw data &amp; Hourly Summary'!M164,'Raw data &amp; Hourly Summary'!Q164,'Raw data &amp; Hourly Summary'!U164)</f>
        <v>680</v>
      </c>
      <c r="N46" s="269">
        <f>SUM('Raw data &amp; Hourly Summary'!F164,'Raw data &amp; Hourly Summary'!J164,'Raw data &amp; Hourly Summary'!N164,'Raw data &amp; Hourly Summary'!R164,'Raw data &amp; Hourly Summary'!V164)</f>
        <v>2</v>
      </c>
      <c r="O46" s="41">
        <f>SUM('Raw data &amp; Hourly Summary'!G164,'Raw data &amp; Hourly Summary'!K164,'Raw data &amp; Hourly Summary'!O164,'Raw data &amp; Hourly Summary'!S164,'Raw data &amp; Hourly Summary'!W164)</f>
        <v>0</v>
      </c>
      <c r="P46" s="42">
        <f t="shared" si="74"/>
        <v>682</v>
      </c>
      <c r="Q46" s="40">
        <f>SUM('Raw data &amp; Hourly Summary'!Y164,'Raw data &amp; Hourly Summary'!AC164,'Raw data &amp; Hourly Summary'!AG164,'Raw data &amp; Hourly Summary'!AK164,'Raw data &amp; Hourly Summary'!AO164)</f>
        <v>609</v>
      </c>
      <c r="R46" s="269">
        <f>SUM('Raw data &amp; Hourly Summary'!Z164,'Raw data &amp; Hourly Summary'!AD164,'Raw data &amp; Hourly Summary'!AH164,'Raw data &amp; Hourly Summary'!AL164,'Raw data &amp; Hourly Summary'!AP164)</f>
        <v>6</v>
      </c>
      <c r="S46" s="41">
        <f>SUM('Raw data &amp; Hourly Summary'!AA164,'Raw data &amp; Hourly Summary'!AE164,'Raw data &amp; Hourly Summary'!AI164,'Raw data &amp; Hourly Summary'!AM164,'Raw data &amp; Hourly Summary'!AQ164)</f>
        <v>23</v>
      </c>
      <c r="T46" s="42">
        <f t="shared" si="75"/>
        <v>638</v>
      </c>
      <c r="U46" s="40">
        <f>SUM('Raw data &amp; Hourly Summary'!AS164,'Raw data &amp; Hourly Summary'!AW164,'Raw data &amp; Hourly Summary'!BA164,'Raw data &amp; Hourly Summary'!BE164,'Raw data &amp; Hourly Summary'!BI164)</f>
        <v>125</v>
      </c>
      <c r="V46" s="269">
        <f>SUM('Raw data &amp; Hourly Summary'!AT164,'Raw data &amp; Hourly Summary'!AX164,'Raw data &amp; Hourly Summary'!BB164,'Raw data &amp; Hourly Summary'!BF164,'Raw data &amp; Hourly Summary'!BJ164)</f>
        <v>0</v>
      </c>
      <c r="W46" s="41">
        <f>SUM('Raw data &amp; Hourly Summary'!AU164,'Raw data &amp; Hourly Summary'!AY164,'Raw data &amp; Hourly Summary'!BC164,'Raw data &amp; Hourly Summary'!BG164,'Raw data &amp; Hourly Summary'!BK164)</f>
        <v>0</v>
      </c>
      <c r="X46" s="42">
        <f t="shared" si="76"/>
        <v>125</v>
      </c>
      <c r="Y46" s="132">
        <f t="shared" si="77"/>
        <v>2408</v>
      </c>
      <c r="Z46" s="52"/>
      <c r="AA46" s="52"/>
      <c r="AB46" s="52"/>
      <c r="AG46" s="55" t="str">
        <f t="shared" si="78"/>
        <v/>
      </c>
      <c r="AH46" s="50" t="str">
        <f t="shared" si="79"/>
        <v/>
      </c>
      <c r="AI46" s="50" t="str">
        <f t="shared" si="49"/>
        <v/>
      </c>
      <c r="AJ46" s="50" t="str">
        <f t="shared" si="50"/>
        <v/>
      </c>
      <c r="AK46" s="50" t="str">
        <f t="shared" si="51"/>
        <v/>
      </c>
      <c r="AL46" s="50" t="str">
        <f t="shared" si="52"/>
        <v/>
      </c>
      <c r="AM46" s="50" t="str">
        <f t="shared" si="53"/>
        <v/>
      </c>
      <c r="AN46" s="50" t="str">
        <f t="shared" si="54"/>
        <v/>
      </c>
      <c r="AO46" s="50" t="str">
        <f t="shared" si="55"/>
        <v/>
      </c>
      <c r="AP46" s="50" t="str">
        <f t="shared" si="56"/>
        <v/>
      </c>
      <c r="AQ46" s="50" t="str">
        <f t="shared" si="57"/>
        <v/>
      </c>
      <c r="AR46" s="50" t="str">
        <f t="shared" si="58"/>
        <v/>
      </c>
      <c r="AS46" s="50" t="str">
        <f t="shared" si="59"/>
        <v/>
      </c>
      <c r="AT46" s="50" t="str">
        <f t="shared" si="60"/>
        <v/>
      </c>
      <c r="AU46" s="50" t="str">
        <f t="shared" si="61"/>
        <v/>
      </c>
      <c r="AV46" s="50" t="str">
        <f t="shared" si="62"/>
        <v/>
      </c>
      <c r="AW46" s="50" t="str">
        <f t="shared" si="63"/>
        <v/>
      </c>
      <c r="AX46" s="50" t="str">
        <f t="shared" si="64"/>
        <v/>
      </c>
      <c r="AY46" s="50" t="str">
        <f t="shared" si="65"/>
        <v/>
      </c>
      <c r="AZ46" s="50" t="str">
        <f t="shared" si="66"/>
        <v/>
      </c>
      <c r="BA46" s="50" t="str">
        <f t="shared" si="67"/>
        <v/>
      </c>
      <c r="BB46" s="50" t="str">
        <f t="shared" si="68"/>
        <v/>
      </c>
      <c r="BD46" s="131">
        <f t="shared" si="34"/>
        <v>2665</v>
      </c>
    </row>
    <row r="47" spans="2:57" s="50" customFormat="1" ht="24.95" customHeight="1" thickBot="1">
      <c r="B47" s="30">
        <f t="shared" si="35"/>
        <v>0.72916667666666701</v>
      </c>
      <c r="C47" s="31" t="s">
        <v>9</v>
      </c>
      <c r="D47" s="39">
        <f t="shared" si="71"/>
        <v>0.77083334666666703</v>
      </c>
      <c r="E47" s="40">
        <f>SUM('Raw data &amp; Hourly Summary'!E133,'Raw data &amp; Hourly Summary'!I133,'Raw data &amp; Hourly Summary'!M133,'Raw data &amp; Hourly Summary'!Q133,'Raw data &amp; Hourly Summary'!U133)</f>
        <v>641</v>
      </c>
      <c r="F47" s="269">
        <f>SUM('Raw data &amp; Hourly Summary'!F133,'Raw data &amp; Hourly Summary'!J133,'Raw data &amp; Hourly Summary'!N133,'Raw data &amp; Hourly Summary'!R133,'Raw data &amp; Hourly Summary'!V133)</f>
        <v>2</v>
      </c>
      <c r="G47" s="41">
        <f>SUM('Raw data &amp; Hourly Summary'!G133,'Raw data &amp; Hourly Summary'!K133,'Raw data &amp; Hourly Summary'!O133,'Raw data &amp; Hourly Summary'!S133,'Raw data &amp; Hourly Summary'!W133)</f>
        <v>16</v>
      </c>
      <c r="H47" s="42">
        <f t="shared" si="72"/>
        <v>659</v>
      </c>
      <c r="I47" s="40">
        <f>SUM('Raw data &amp; Hourly Summary'!Y133,'Raw data &amp; Hourly Summary'!AC133,'Raw data &amp; Hourly Summary'!AG133,'Raw data &amp; Hourly Summary'!AK133,'Raw data &amp; Hourly Summary'!AO133)</f>
        <v>289</v>
      </c>
      <c r="J47" s="269">
        <f>SUM('Raw data &amp; Hourly Summary'!Z133,'Raw data &amp; Hourly Summary'!AD133,'Raw data &amp; Hourly Summary'!AH133,'Raw data &amp; Hourly Summary'!AL133,'Raw data &amp; Hourly Summary'!AP133)</f>
        <v>2</v>
      </c>
      <c r="K47" s="41">
        <f>SUM('Raw data &amp; Hourly Summary'!AA133,'Raw data &amp; Hourly Summary'!AE133,'Raw data &amp; Hourly Summary'!AI133,'Raw data &amp; Hourly Summary'!AM133,'Raw data &amp; Hourly Summary'!AQ133)</f>
        <v>0</v>
      </c>
      <c r="L47" s="42">
        <f t="shared" si="73"/>
        <v>291</v>
      </c>
      <c r="M47" s="40">
        <f>SUM('Raw data &amp; Hourly Summary'!E165,'Raw data &amp; Hourly Summary'!I165,'Raw data &amp; Hourly Summary'!M165,'Raw data &amp; Hourly Summary'!Q165,'Raw data &amp; Hourly Summary'!U165)</f>
        <v>681</v>
      </c>
      <c r="N47" s="269">
        <f>SUM('Raw data &amp; Hourly Summary'!F165,'Raw data &amp; Hourly Summary'!J165,'Raw data &amp; Hourly Summary'!N165,'Raw data &amp; Hourly Summary'!R165,'Raw data &amp; Hourly Summary'!V165)</f>
        <v>3</v>
      </c>
      <c r="O47" s="41">
        <f>SUM('Raw data &amp; Hourly Summary'!G165,'Raw data &amp; Hourly Summary'!K165,'Raw data &amp; Hourly Summary'!O165,'Raw data &amp; Hourly Summary'!S165,'Raw data &amp; Hourly Summary'!W165)</f>
        <v>0</v>
      </c>
      <c r="P47" s="42">
        <f t="shared" si="74"/>
        <v>684</v>
      </c>
      <c r="Q47" s="40">
        <f>SUM('Raw data &amp; Hourly Summary'!Y165,'Raw data &amp; Hourly Summary'!AC165,'Raw data &amp; Hourly Summary'!AG165,'Raw data &amp; Hourly Summary'!AK165,'Raw data &amp; Hourly Summary'!AO165)</f>
        <v>552</v>
      </c>
      <c r="R47" s="269">
        <f>SUM('Raw data &amp; Hourly Summary'!Z165,'Raw data &amp; Hourly Summary'!AD165,'Raw data &amp; Hourly Summary'!AH165,'Raw data &amp; Hourly Summary'!AL165,'Raw data &amp; Hourly Summary'!AP165)</f>
        <v>5</v>
      </c>
      <c r="S47" s="41">
        <f>SUM('Raw data &amp; Hourly Summary'!AA165,'Raw data &amp; Hourly Summary'!AE165,'Raw data &amp; Hourly Summary'!AI165,'Raw data &amp; Hourly Summary'!AM165,'Raw data &amp; Hourly Summary'!AQ165)</f>
        <v>24</v>
      </c>
      <c r="T47" s="42">
        <f t="shared" si="75"/>
        <v>581</v>
      </c>
      <c r="U47" s="40">
        <f>SUM('Raw data &amp; Hourly Summary'!AS165,'Raw data &amp; Hourly Summary'!AW165,'Raw data &amp; Hourly Summary'!BA165,'Raw data &amp; Hourly Summary'!BE165,'Raw data &amp; Hourly Summary'!BI165)</f>
        <v>125</v>
      </c>
      <c r="V47" s="269">
        <f>SUM('Raw data &amp; Hourly Summary'!AT165,'Raw data &amp; Hourly Summary'!AX165,'Raw data &amp; Hourly Summary'!BB165,'Raw data &amp; Hourly Summary'!BF165,'Raw data &amp; Hourly Summary'!BJ165)</f>
        <v>0</v>
      </c>
      <c r="W47" s="41">
        <f>SUM('Raw data &amp; Hourly Summary'!AU165,'Raw data &amp; Hourly Summary'!AY165,'Raw data &amp; Hourly Summary'!BC165,'Raw data &amp; Hourly Summary'!BG165,'Raw data &amp; Hourly Summary'!BK165)</f>
        <v>0</v>
      </c>
      <c r="X47" s="42">
        <f t="shared" si="76"/>
        <v>125</v>
      </c>
      <c r="Y47" s="132">
        <f t="shared" si="77"/>
        <v>2340</v>
      </c>
      <c r="Z47" s="52"/>
      <c r="AA47" s="52"/>
      <c r="AB47" s="52"/>
      <c r="AG47" s="55" t="str">
        <f t="shared" si="78"/>
        <v/>
      </c>
      <c r="AH47" s="50" t="str">
        <f t="shared" si="79"/>
        <v/>
      </c>
      <c r="AI47" s="50" t="str">
        <f t="shared" si="49"/>
        <v/>
      </c>
      <c r="AJ47" s="50" t="str">
        <f t="shared" si="50"/>
        <v/>
      </c>
      <c r="AK47" s="50" t="str">
        <f t="shared" si="51"/>
        <v/>
      </c>
      <c r="AL47" s="50" t="str">
        <f t="shared" si="52"/>
        <v/>
      </c>
      <c r="AM47" s="50" t="str">
        <f t="shared" si="53"/>
        <v/>
      </c>
      <c r="AN47" s="50" t="str">
        <f t="shared" si="54"/>
        <v/>
      </c>
      <c r="AO47" s="50" t="str">
        <f t="shared" si="55"/>
        <v/>
      </c>
      <c r="AP47" s="50" t="str">
        <f t="shared" si="56"/>
        <v/>
      </c>
      <c r="AQ47" s="50" t="str">
        <f t="shared" si="57"/>
        <v/>
      </c>
      <c r="AR47" s="50" t="str">
        <f t="shared" si="58"/>
        <v/>
      </c>
      <c r="AS47" s="50" t="str">
        <f t="shared" si="59"/>
        <v/>
      </c>
      <c r="AT47" s="50" t="str">
        <f t="shared" si="60"/>
        <v/>
      </c>
      <c r="AU47" s="50" t="str">
        <f t="shared" si="61"/>
        <v/>
      </c>
      <c r="AV47" s="50" t="str">
        <f t="shared" si="62"/>
        <v/>
      </c>
      <c r="AW47" s="50" t="str">
        <f t="shared" si="63"/>
        <v/>
      </c>
      <c r="AX47" s="50" t="str">
        <f t="shared" si="64"/>
        <v/>
      </c>
      <c r="AY47" s="50" t="str">
        <f t="shared" si="65"/>
        <v/>
      </c>
      <c r="AZ47" s="50" t="str">
        <f t="shared" si="66"/>
        <v/>
      </c>
      <c r="BA47" s="50" t="str">
        <f t="shared" si="67"/>
        <v/>
      </c>
      <c r="BB47" s="50" t="str">
        <f t="shared" si="68"/>
        <v/>
      </c>
      <c r="BD47" s="131">
        <f>AK17</f>
        <v>2665</v>
      </c>
    </row>
    <row r="48" spans="2:57" s="50" customFormat="1" ht="29.25" customHeight="1" thickBot="1">
      <c r="B48" s="405" t="str">
        <f>'Raw data &amp; Hourly Summary'!B51:D51</f>
        <v>PM Totals</v>
      </c>
      <c r="C48" s="370"/>
      <c r="D48" s="371"/>
      <c r="E48" s="271">
        <f>SUM('Raw data &amp; Hourly Summary'!E134,'Raw data &amp; Hourly Summary'!I134,'Raw data &amp; Hourly Summary'!M134,'Raw data &amp; Hourly Summary'!Q134,'Raw data &amp; Hourly Summary'!U134)</f>
        <v>2706</v>
      </c>
      <c r="F48" s="272">
        <f>SUM('Raw data &amp; Hourly Summary'!F134,'Raw data &amp; Hourly Summary'!J134,'Raw data &amp; Hourly Summary'!N134,'Raw data &amp; Hourly Summary'!R134,'Raw data &amp; Hourly Summary'!V134)</f>
        <v>17</v>
      </c>
      <c r="G48" s="273">
        <f>SUM('Raw data &amp; Hourly Summary'!G134,'Raw data &amp; Hourly Summary'!K134,'Raw data &amp; Hourly Summary'!O134,'Raw data &amp; Hourly Summary'!S134,'Raw data &amp; Hourly Summary'!W134)</f>
        <v>64</v>
      </c>
      <c r="H48" s="274">
        <f t="shared" si="7"/>
        <v>2787</v>
      </c>
      <c r="I48" s="271">
        <f>SUM('Raw data &amp; Hourly Summary'!Y134,'Raw data &amp; Hourly Summary'!AC134,'Raw data &amp; Hourly Summary'!AG134,'Raw data &amp; Hourly Summary'!AK134,'Raw data &amp; Hourly Summary'!AO134)</f>
        <v>1293</v>
      </c>
      <c r="J48" s="272">
        <f>SUM('Raw data &amp; Hourly Summary'!Z134,'Raw data &amp; Hourly Summary'!AD134,'Raw data &amp; Hourly Summary'!AH134,'Raw data &amp; Hourly Summary'!AL134,'Raw data &amp; Hourly Summary'!AP134)</f>
        <v>14</v>
      </c>
      <c r="K48" s="273">
        <f>SUM('Raw data &amp; Hourly Summary'!AA134,'Raw data &amp; Hourly Summary'!AE134,'Raw data &amp; Hourly Summary'!AI134,'Raw data &amp; Hourly Summary'!AM134,'Raw data &amp; Hourly Summary'!AQ134)</f>
        <v>0</v>
      </c>
      <c r="L48" s="274">
        <f t="shared" si="8"/>
        <v>1307</v>
      </c>
      <c r="M48" s="271">
        <f>SUM('Raw data &amp; Hourly Summary'!E166,'Raw data &amp; Hourly Summary'!I166,'Raw data &amp; Hourly Summary'!M166,'Raw data &amp; Hourly Summary'!Q166,'Raw data &amp; Hourly Summary'!U166)</f>
        <v>2651</v>
      </c>
      <c r="N48" s="272">
        <f>SUM('Raw data &amp; Hourly Summary'!F166,'Raw data &amp; Hourly Summary'!J166,'Raw data &amp; Hourly Summary'!N166,'Raw data &amp; Hourly Summary'!R166,'Raw data &amp; Hourly Summary'!V166)</f>
        <v>20</v>
      </c>
      <c r="O48" s="273">
        <f>SUM('Raw data &amp; Hourly Summary'!G166,'Raw data &amp; Hourly Summary'!K166,'Raw data &amp; Hourly Summary'!O166,'Raw data &amp; Hourly Summary'!S166,'Raw data &amp; Hourly Summary'!W166)</f>
        <v>1</v>
      </c>
      <c r="P48" s="274">
        <f t="shared" si="9"/>
        <v>2672</v>
      </c>
      <c r="Q48" s="271">
        <f>SUM('Raw data &amp; Hourly Summary'!Y166,'Raw data &amp; Hourly Summary'!AC166,'Raw data &amp; Hourly Summary'!AG166,'Raw data &amp; Hourly Summary'!AK166,'Raw data &amp; Hourly Summary'!AO166)</f>
        <v>2457</v>
      </c>
      <c r="R48" s="272">
        <f>SUM('Raw data &amp; Hourly Summary'!Z166,'Raw data &amp; Hourly Summary'!AD166,'Raw data &amp; Hourly Summary'!AH166,'Raw data &amp; Hourly Summary'!AL166,'Raw data &amp; Hourly Summary'!AP166)</f>
        <v>33</v>
      </c>
      <c r="S48" s="273">
        <f>SUM('Raw data &amp; Hourly Summary'!AA166,'Raw data &amp; Hourly Summary'!AE166,'Raw data &amp; Hourly Summary'!AI166,'Raw data &amp; Hourly Summary'!AM166,'Raw data &amp; Hourly Summary'!AQ166)</f>
        <v>83</v>
      </c>
      <c r="T48" s="274">
        <f>SUM(Q48:S48)</f>
        <v>2573</v>
      </c>
      <c r="U48" s="271">
        <f>SUM('Raw data &amp; Hourly Summary'!AS166,'Raw data &amp; Hourly Summary'!AW166,'Raw data &amp; Hourly Summary'!BA166,'Raw data &amp; Hourly Summary'!BE166,'Raw data &amp; Hourly Summary'!BI166)</f>
        <v>436</v>
      </c>
      <c r="V48" s="272">
        <f>SUM('Raw data &amp; Hourly Summary'!AT166,'Raw data &amp; Hourly Summary'!AX166,'Raw data &amp; Hourly Summary'!BB166,'Raw data &amp; Hourly Summary'!BF166,'Raw data &amp; Hourly Summary'!BJ166)</f>
        <v>1</v>
      </c>
      <c r="W48" s="273">
        <f>SUM('Raw data &amp; Hourly Summary'!AU166,'Raw data &amp; Hourly Summary'!AY166,'Raw data &amp; Hourly Summary'!BC166,'Raw data &amp; Hourly Summary'!BG166,'Raw data &amp; Hourly Summary'!BK166)</f>
        <v>0</v>
      </c>
      <c r="X48" s="274">
        <f t="shared" si="11"/>
        <v>437</v>
      </c>
      <c r="Y48" s="275">
        <f t="shared" si="36"/>
        <v>9776</v>
      </c>
      <c r="Z48" s="52"/>
      <c r="AA48" s="52"/>
      <c r="AB48" s="52"/>
      <c r="AF48" s="25"/>
      <c r="AG48" s="96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87"/>
      <c r="BE48" s="1"/>
    </row>
  </sheetData>
  <mergeCells count="23">
    <mergeCell ref="Y19:Y20"/>
    <mergeCell ref="B20:D20"/>
    <mergeCell ref="B48:D48"/>
    <mergeCell ref="B34:D34"/>
    <mergeCell ref="B15:D15"/>
    <mergeCell ref="B19:D19"/>
    <mergeCell ref="E19:H19"/>
    <mergeCell ref="I19:L19"/>
    <mergeCell ref="M19:P19"/>
    <mergeCell ref="Q19:T19"/>
    <mergeCell ref="U19:X19"/>
    <mergeCell ref="R12:U12"/>
    <mergeCell ref="U14:X14"/>
    <mergeCell ref="Q14:T14"/>
    <mergeCell ref="Y14:Y15"/>
    <mergeCell ref="O2:S2"/>
    <mergeCell ref="U3:U8"/>
    <mergeCell ref="B14:D14"/>
    <mergeCell ref="E14:H14"/>
    <mergeCell ref="I14:L14"/>
    <mergeCell ref="M14:P14"/>
    <mergeCell ref="M3:M8"/>
    <mergeCell ref="M12:P12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Y77"/>
  <sheetViews>
    <sheetView showGridLines="0" tabSelected="1" zoomScale="60" zoomScaleNormal="60" workbookViewId="0">
      <selection activeCell="BL34" sqref="BL34:BL45"/>
    </sheetView>
  </sheetViews>
  <sheetFormatPr defaultColWidth="3.625" defaultRowHeight="15" customHeight="1"/>
  <cols>
    <col min="1" max="1" width="1.625" style="135" customWidth="1"/>
    <col min="2" max="2" width="3.625" style="135"/>
    <col min="3" max="7" width="2.625" style="135" customWidth="1"/>
    <col min="8" max="8" width="3.625" style="135" customWidth="1"/>
    <col min="9" max="9" width="2.125" style="135" customWidth="1"/>
    <col min="10" max="10" width="3.625" style="135" customWidth="1"/>
    <col min="11" max="11" width="3" style="135" customWidth="1"/>
    <col min="12" max="12" width="0.625" style="135" customWidth="1"/>
    <col min="13" max="13" width="3.625" style="135" customWidth="1"/>
    <col min="14" max="15" width="1.625" style="135" customWidth="1"/>
    <col min="16" max="16" width="5.625" style="135" customWidth="1"/>
    <col min="17" max="18" width="1.625" style="135" customWidth="1"/>
    <col min="19" max="19" width="5.625" style="135" customWidth="1"/>
    <col min="20" max="20" width="1.625" style="135" customWidth="1"/>
    <col min="21" max="21" width="5.625" style="135" customWidth="1"/>
    <col min="22" max="22" width="1.625" style="135" customWidth="1"/>
    <col min="23" max="23" width="5.625" style="135" customWidth="1"/>
    <col min="24" max="24" width="1.625" style="135" customWidth="1"/>
    <col min="25" max="25" width="5.625" style="135" customWidth="1"/>
    <col min="26" max="26" width="1.625" style="135" customWidth="1"/>
    <col min="27" max="27" width="5.625" style="135" customWidth="1"/>
    <col min="28" max="28" width="1.625" style="135" customWidth="1"/>
    <col min="29" max="29" width="5.625" style="135" customWidth="1"/>
    <col min="30" max="30" width="1.625" style="135" customWidth="1"/>
    <col min="31" max="31" width="6.625" style="135" customWidth="1"/>
    <col min="32" max="32" width="1.625" style="135" customWidth="1"/>
    <col min="33" max="33" width="5.625" style="135" customWidth="1"/>
    <col min="34" max="34" width="1.625" style="135" customWidth="1"/>
    <col min="35" max="35" width="5.625" style="135" customWidth="1"/>
    <col min="36" max="36" width="1.625" style="135" customWidth="1"/>
    <col min="37" max="37" width="5.625" style="135" customWidth="1"/>
    <col min="38" max="38" width="1.625" style="135" customWidth="1"/>
    <col min="39" max="39" width="5.625" style="135" customWidth="1"/>
    <col min="40" max="40" width="1.625" style="135" customWidth="1"/>
    <col min="41" max="41" width="5.625" style="135" customWidth="1"/>
    <col min="42" max="42" width="1.625" style="135" customWidth="1"/>
    <col min="43" max="43" width="6.625" style="135" customWidth="1"/>
    <col min="44" max="44" width="1.625" style="135" customWidth="1"/>
    <col min="45" max="45" width="5.625" style="135" customWidth="1"/>
    <col min="46" max="46" width="1.625" style="135" customWidth="1"/>
    <col min="47" max="47" width="5.625" style="135" customWidth="1"/>
    <col min="48" max="48" width="1.625" style="135" customWidth="1"/>
    <col min="49" max="49" width="6.875" style="135" customWidth="1"/>
    <col min="50" max="50" width="1.625" style="135" customWidth="1"/>
    <col min="51" max="51" width="5.625" style="135" customWidth="1"/>
    <col min="52" max="52" width="1.625" style="135" customWidth="1"/>
    <col min="53" max="53" width="5.625" style="135" customWidth="1"/>
    <col min="54" max="54" width="1.625" style="135" customWidth="1"/>
    <col min="55" max="55" width="5.625" style="135" customWidth="1"/>
    <col min="56" max="56" width="1.625" style="135" customWidth="1"/>
    <col min="57" max="57" width="5.625" style="135" customWidth="1"/>
    <col min="58" max="58" width="1.625" style="135" customWidth="1"/>
    <col min="59" max="59" width="5.625" style="135" customWidth="1"/>
    <col min="60" max="60" width="1.625" style="135" customWidth="1"/>
    <col min="61" max="61" width="5.625" style="135" customWidth="1"/>
    <col min="62" max="62" width="1.625" style="135" customWidth="1"/>
    <col min="63" max="63" width="1.5" style="135" customWidth="1"/>
    <col min="64" max="64" width="7.5" style="135" customWidth="1"/>
    <col min="65" max="66" width="1.625" style="135" customWidth="1"/>
    <col min="67" max="67" width="3.625" style="135"/>
    <col min="68" max="68" width="3" style="135" customWidth="1"/>
    <col min="69" max="69" width="0.625" style="135" customWidth="1"/>
    <col min="70" max="70" width="3.625" style="135"/>
    <col min="71" max="71" width="2.125" style="135" customWidth="1"/>
    <col min="72" max="76" width="3.625" style="135"/>
    <col min="77" max="77" width="1.625" style="135" customWidth="1"/>
    <col min="78" max="16384" width="3.625" style="135"/>
  </cols>
  <sheetData>
    <row r="1" spans="1:77" ht="8.2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</row>
    <row r="2" spans="1:77" ht="17.25" customHeight="1">
      <c r="A2" s="134"/>
      <c r="C2" s="136"/>
      <c r="D2" s="136"/>
      <c r="E2" s="136"/>
      <c r="F2" s="136"/>
      <c r="G2" s="136"/>
      <c r="H2" s="136"/>
      <c r="I2" s="136"/>
      <c r="BY2" s="134"/>
    </row>
    <row r="3" spans="1:77" ht="17.25" customHeight="1">
      <c r="A3" s="134"/>
      <c r="C3" s="136"/>
      <c r="D3" s="137" t="s">
        <v>0</v>
      </c>
      <c r="E3" s="136"/>
      <c r="F3" s="136"/>
      <c r="H3" s="135" t="str">
        <f>'Raw data &amp; Hourly Summary'!E3</f>
        <v>: NZNth13356</v>
      </c>
      <c r="I3" s="136"/>
      <c r="BY3" s="134"/>
    </row>
    <row r="4" spans="1:77" ht="17.25" customHeight="1">
      <c r="A4" s="134"/>
      <c r="C4" s="136"/>
      <c r="D4" s="137" t="s">
        <v>1</v>
      </c>
      <c r="E4" s="136"/>
      <c r="F4" s="136"/>
      <c r="H4" s="135" t="str">
        <f>'Raw data &amp; Hourly Summary'!E4</f>
        <v>: Auckland Transport</v>
      </c>
      <c r="I4" s="136"/>
      <c r="BY4" s="134"/>
    </row>
    <row r="5" spans="1:77" ht="17.25" customHeight="1">
      <c r="A5" s="134"/>
      <c r="C5" s="136"/>
      <c r="D5" s="137" t="s">
        <v>2</v>
      </c>
      <c r="E5" s="136"/>
      <c r="F5" s="136"/>
      <c r="H5" s="135" t="str">
        <f>'Raw data &amp; Hourly Summary'!E5</f>
        <v>: Preston Road Surveys</v>
      </c>
      <c r="I5" s="136"/>
      <c r="BY5" s="134"/>
    </row>
    <row r="6" spans="1:77" ht="17.25" customHeight="1">
      <c r="A6" s="134"/>
      <c r="C6" s="136"/>
      <c r="D6" s="137" t="s">
        <v>3</v>
      </c>
      <c r="E6" s="136"/>
      <c r="F6" s="136"/>
      <c r="H6" s="135" t="str">
        <f>'Raw data &amp; Hourly Summary'!E6</f>
        <v>: 2. Great N Rd / St Georges Rd / St Jude St / Wingate St</v>
      </c>
      <c r="I6" s="136"/>
      <c r="BY6" s="134"/>
    </row>
    <row r="7" spans="1:77" ht="17.25" customHeight="1">
      <c r="A7" s="134"/>
      <c r="C7" s="136"/>
      <c r="E7" s="136"/>
      <c r="F7" s="136"/>
      <c r="I7" s="136"/>
      <c r="BY7" s="134"/>
    </row>
    <row r="8" spans="1:77" ht="17.25" customHeight="1">
      <c r="A8" s="134"/>
      <c r="C8" s="136"/>
      <c r="D8" s="137" t="s">
        <v>12</v>
      </c>
      <c r="E8" s="136"/>
      <c r="F8" s="136"/>
      <c r="H8" s="135" t="str">
        <f>'Raw data &amp; Hourly Summary'!E8</f>
        <v>: Wed, 3 September 2025</v>
      </c>
      <c r="I8" s="136"/>
      <c r="BY8" s="134"/>
    </row>
    <row r="9" spans="1:77" ht="17.25" customHeight="1">
      <c r="A9" s="134"/>
      <c r="C9" s="136"/>
      <c r="D9" s="137" t="s">
        <v>13</v>
      </c>
      <c r="E9" s="136"/>
      <c r="F9" s="136"/>
      <c r="H9" s="135" t="str">
        <f>'Raw data &amp; Hourly Summary'!E9</f>
        <v>: Fine</v>
      </c>
      <c r="I9" s="136"/>
      <c r="BY9" s="134"/>
    </row>
    <row r="10" spans="1:77" ht="17.25" customHeight="1">
      <c r="A10" s="134"/>
      <c r="C10" s="136"/>
      <c r="D10" s="137" t="s">
        <v>4</v>
      </c>
      <c r="E10" s="136"/>
      <c r="F10" s="136"/>
      <c r="H10" s="135" t="str">
        <f>'Raw data &amp; Hourly Summary'!E10</f>
        <v>: Classified Intersection Count</v>
      </c>
      <c r="I10" s="136"/>
      <c r="BY10" s="134"/>
    </row>
    <row r="11" spans="1:77" ht="17.25" customHeight="1">
      <c r="A11" s="134"/>
      <c r="C11" s="136"/>
      <c r="D11" s="136"/>
      <c r="E11" s="136"/>
      <c r="F11" s="136"/>
      <c r="H11" s="138" t="s">
        <v>18</v>
      </c>
      <c r="I11" s="139"/>
      <c r="J11" s="139"/>
      <c r="K11" s="139"/>
      <c r="L11" s="139"/>
      <c r="M11" s="139"/>
      <c r="N11" s="139"/>
      <c r="O11" s="139"/>
      <c r="BY11" s="134"/>
    </row>
    <row r="12" spans="1:77" ht="21.75" customHeight="1" thickBot="1">
      <c r="A12" s="134"/>
      <c r="F12" s="140"/>
      <c r="H12" s="140"/>
      <c r="I12" s="140"/>
      <c r="J12" s="140"/>
      <c r="K12" s="140"/>
      <c r="L12" s="140"/>
      <c r="M12" s="140"/>
      <c r="N12" s="140"/>
      <c r="O12" s="250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D12" s="412" t="str">
        <f>'Raw data &amp; Hourly Summary'!U2</f>
        <v>Great N Rd</v>
      </c>
      <c r="AE12" s="412"/>
      <c r="AF12" s="412"/>
      <c r="AG12" s="412"/>
      <c r="AH12" s="412"/>
      <c r="AI12" s="412"/>
      <c r="AJ12" s="412"/>
      <c r="AK12" s="412"/>
      <c r="AL12" s="412"/>
      <c r="AM12" s="412"/>
      <c r="AN12" s="412"/>
      <c r="AO12" s="412"/>
      <c r="AP12" s="412"/>
      <c r="AQ12" s="412"/>
      <c r="AR12" s="412"/>
      <c r="AS12" s="412"/>
      <c r="AT12" s="412"/>
      <c r="AU12" s="412"/>
      <c r="AV12" s="412"/>
      <c r="AW12" s="412"/>
      <c r="AX12" s="412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Y12" s="134"/>
    </row>
    <row r="13" spans="1:77" ht="15" customHeight="1">
      <c r="A13" s="134"/>
      <c r="D13" s="182"/>
      <c r="E13" s="183" t="s">
        <v>71</v>
      </c>
      <c r="F13" s="184"/>
      <c r="G13" s="185"/>
      <c r="H13" s="184"/>
      <c r="I13" s="184"/>
      <c r="J13" s="184"/>
      <c r="K13" s="183" t="s">
        <v>72</v>
      </c>
      <c r="L13" s="185"/>
      <c r="M13" s="185"/>
      <c r="N13" s="185"/>
      <c r="O13" s="184"/>
      <c r="P13" s="186"/>
      <c r="Q13" s="140"/>
      <c r="R13" s="145"/>
      <c r="S13" s="145"/>
      <c r="T13" s="143"/>
      <c r="U13" s="146"/>
      <c r="W13" s="140"/>
      <c r="X13" s="140"/>
      <c r="Y13" s="140"/>
      <c r="Z13" s="140"/>
      <c r="AA13" s="140"/>
      <c r="AZ13" s="140"/>
      <c r="BA13" s="140"/>
      <c r="BB13" s="140"/>
      <c r="BC13" s="140"/>
      <c r="BD13" s="140"/>
      <c r="BE13" s="140"/>
      <c r="BF13" s="145"/>
      <c r="BG13" s="145"/>
      <c r="BH13" s="143"/>
      <c r="BI13" s="146"/>
      <c r="BY13" s="134"/>
    </row>
    <row r="14" spans="1:77" ht="15" customHeight="1">
      <c r="A14" s="134"/>
      <c r="D14" s="187"/>
      <c r="G14" s="140"/>
      <c r="H14" s="140"/>
      <c r="I14" s="140"/>
      <c r="J14" s="140"/>
      <c r="K14" s="140"/>
      <c r="L14" s="140"/>
      <c r="M14" s="140"/>
      <c r="N14" s="140"/>
      <c r="P14" s="188"/>
      <c r="Q14" s="140"/>
      <c r="W14" s="140"/>
      <c r="X14" s="140"/>
      <c r="Y14" s="140"/>
      <c r="Z14" s="140"/>
      <c r="AA14" s="140"/>
      <c r="AD14" s="140"/>
      <c r="AE14" s="144" t="s">
        <v>8</v>
      </c>
      <c r="AG14" s="145"/>
      <c r="AH14" s="140"/>
      <c r="AI14" s="141"/>
      <c r="AJ14" s="140"/>
      <c r="AK14" s="142"/>
      <c r="AL14" s="142"/>
      <c r="AM14" s="142"/>
      <c r="AO14" s="146"/>
      <c r="AP14" s="140"/>
      <c r="AQ14" s="140"/>
      <c r="AS14" s="140"/>
      <c r="AW14" s="144" t="s">
        <v>8</v>
      </c>
      <c r="AY14" s="140"/>
      <c r="AZ14" s="140"/>
      <c r="BA14" s="140"/>
      <c r="BB14" s="140"/>
      <c r="BC14" s="140"/>
      <c r="BD14" s="140"/>
      <c r="BE14" s="140"/>
      <c r="BY14" s="134"/>
    </row>
    <row r="15" spans="1:77" ht="15" customHeight="1" thickBot="1">
      <c r="A15" s="134"/>
      <c r="D15" s="187"/>
      <c r="G15" s="140"/>
      <c r="H15" s="140"/>
      <c r="I15" s="140"/>
      <c r="J15" s="140"/>
      <c r="K15" s="140"/>
      <c r="L15" s="140"/>
      <c r="M15" s="140"/>
      <c r="N15" s="140"/>
      <c r="P15" s="188"/>
      <c r="Q15" s="140"/>
      <c r="R15" s="288"/>
      <c r="S15" s="288"/>
      <c r="T15" s="288"/>
      <c r="U15" s="142"/>
      <c r="W15" s="140"/>
      <c r="X15" s="140"/>
      <c r="Y15" s="140"/>
      <c r="Z15" s="140"/>
      <c r="AA15" s="140"/>
      <c r="AD15" s="140"/>
      <c r="AE15" s="147" t="s">
        <v>70</v>
      </c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S15" s="140"/>
      <c r="AV15" s="288"/>
      <c r="AW15" s="147" t="s">
        <v>69</v>
      </c>
      <c r="AX15" s="288"/>
      <c r="AY15" s="140"/>
      <c r="AZ15" s="140"/>
      <c r="BA15" s="140"/>
      <c r="BB15" s="140"/>
      <c r="BC15" s="140"/>
      <c r="BD15" s="140"/>
      <c r="BE15" s="140"/>
      <c r="BF15" s="288"/>
      <c r="BG15" s="288"/>
      <c r="BH15" s="288"/>
      <c r="BI15" s="142"/>
      <c r="BY15" s="134"/>
    </row>
    <row r="16" spans="1:77" ht="9.9499999999999993" customHeight="1" thickBot="1">
      <c r="A16" s="134"/>
      <c r="D16" s="189"/>
      <c r="E16" s="190"/>
      <c r="F16" s="190"/>
      <c r="G16" s="191"/>
      <c r="H16" s="191"/>
      <c r="I16" s="191"/>
      <c r="J16" s="191"/>
      <c r="K16" s="191"/>
      <c r="L16" s="191"/>
      <c r="M16" s="191"/>
      <c r="N16" s="191"/>
      <c r="O16" s="190"/>
      <c r="P16" s="192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D16" s="148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5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Y16" s="134"/>
    </row>
    <row r="17" spans="1:77" ht="15" customHeight="1">
      <c r="A17" s="134"/>
      <c r="R17" s="140"/>
      <c r="S17" s="142"/>
      <c r="T17" s="140"/>
      <c r="U17" s="284"/>
      <c r="V17" s="140"/>
      <c r="W17" s="140"/>
      <c r="X17" s="140"/>
      <c r="Y17" s="285"/>
      <c r="Z17" s="285"/>
      <c r="AA17" s="285"/>
      <c r="AD17" s="154"/>
      <c r="AE17" s="155">
        <f ca="1">'Raw data &amp; Hourly Summary'!CC131</f>
        <v>1990</v>
      </c>
      <c r="AF17" s="157"/>
      <c r="AG17" s="292" t="s">
        <v>40</v>
      </c>
      <c r="AH17" s="157"/>
      <c r="AI17" s="157"/>
      <c r="AJ17" s="157"/>
      <c r="AK17" s="157"/>
      <c r="AL17" s="157"/>
      <c r="AM17" s="293">
        <f ca="1">'Raw data &amp; Hourly Summary'!CO128</f>
        <v>42</v>
      </c>
      <c r="AN17" s="157"/>
      <c r="AO17" s="293">
        <f ca="1">'Raw data &amp; Hourly Summary'!CN128</f>
        <v>163</v>
      </c>
      <c r="AP17" s="157"/>
      <c r="AQ17" s="293">
        <f ca="1">'Raw data &amp; Hourly Summary'!CM128</f>
        <v>1316</v>
      </c>
      <c r="AR17" s="157"/>
      <c r="AS17" s="293">
        <f ca="1">'Raw data &amp; Hourly Summary'!CL128</f>
        <v>903</v>
      </c>
      <c r="AT17" s="156"/>
      <c r="AU17" s="293">
        <f ca="1">'Raw data &amp; Hourly Summary'!CK128</f>
        <v>149</v>
      </c>
      <c r="AV17" s="156"/>
      <c r="AW17" s="155">
        <f ca="1">'Raw data &amp; Hourly Summary'!CB131</f>
        <v>2573</v>
      </c>
      <c r="AX17" s="158"/>
      <c r="AY17" s="285"/>
      <c r="AZ17" s="140"/>
      <c r="BA17" s="285"/>
      <c r="BB17" s="195"/>
      <c r="BC17" s="285"/>
      <c r="BD17" s="195"/>
      <c r="BE17" s="285"/>
      <c r="BF17" s="195"/>
      <c r="BG17" s="285"/>
      <c r="BH17" s="195"/>
      <c r="BI17" s="142"/>
      <c r="BJ17" s="140"/>
      <c r="BY17" s="134"/>
    </row>
    <row r="18" spans="1:77" ht="15" customHeight="1">
      <c r="A18" s="134"/>
      <c r="R18" s="140"/>
      <c r="S18" s="286"/>
      <c r="T18" s="140"/>
      <c r="U18" s="284"/>
      <c r="V18" s="140"/>
      <c r="W18" s="140"/>
      <c r="X18" s="140"/>
      <c r="Y18" s="286"/>
      <c r="Z18" s="286"/>
      <c r="AA18" s="286"/>
      <c r="AD18" s="154"/>
      <c r="AE18" s="166">
        <f ca="1">IF(AE17=0,0,AE17/IF(COUNTA('Raw data &amp; Hourly Summary'!$BQ$139:$BQ$152)&gt;='Raw data &amp; Hourly Summary'!$BQ$128,'Raw data &amp; Hourly Summary'!CC134,'Raw data &amp; Hourly Summary'!CC135))</f>
        <v>1</v>
      </c>
      <c r="AF18" s="156"/>
      <c r="AG18" s="294" t="s">
        <v>41</v>
      </c>
      <c r="AH18" s="156"/>
      <c r="AI18" s="156"/>
      <c r="AJ18" s="156"/>
      <c r="AK18" s="156"/>
      <c r="AL18" s="156"/>
      <c r="AM18" s="295">
        <f ca="1">IF(AM17=0,0,AM17/$AW$17)</f>
        <v>1.6323357947920714E-2</v>
      </c>
      <c r="AN18" s="156"/>
      <c r="AO18" s="295">
        <f ca="1">IF(AO17=0,0,AO17/$AW$17)</f>
        <v>6.3350174893120864E-2</v>
      </c>
      <c r="AP18" s="156"/>
      <c r="AQ18" s="295">
        <f ca="1">IF(AQ17=0,0,AQ17/$AW$17)</f>
        <v>0.51146521570151571</v>
      </c>
      <c r="AR18" s="156"/>
      <c r="AS18" s="295">
        <f ca="1">IF(AS17=0,0,AS17/$AW$17)</f>
        <v>0.35095219588029536</v>
      </c>
      <c r="AT18" s="156"/>
      <c r="AU18" s="295">
        <f ca="1">IF(AU17=0,0,AU17/$AW$17)</f>
        <v>5.7909055577147296E-2</v>
      </c>
      <c r="AV18" s="156"/>
      <c r="AW18" s="166">
        <f ca="1">IF(AW17=0,0,AW17/IF(COUNTA('Raw data &amp; Hourly Summary'!$BQ$139:$BQ$152)&gt;='Raw data &amp; Hourly Summary'!$BQ$128,'Raw data &amp; Hourly Summary'!CB134,'Raw data &amp; Hourly Summary'!CB135))</f>
        <v>1</v>
      </c>
      <c r="AX18" s="158"/>
      <c r="AY18" s="286"/>
      <c r="AZ18" s="140"/>
      <c r="BA18" s="286"/>
      <c r="BB18" s="140"/>
      <c r="BC18" s="286"/>
      <c r="BD18" s="140"/>
      <c r="BE18" s="286"/>
      <c r="BF18" s="140"/>
      <c r="BG18" s="286"/>
      <c r="BH18" s="140"/>
      <c r="BI18" s="287"/>
      <c r="BJ18" s="140"/>
      <c r="BY18" s="134"/>
    </row>
    <row r="19" spans="1:77" ht="9.9499999999999993" customHeight="1" thickBot="1">
      <c r="A19" s="134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D19" s="170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2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Y19" s="134"/>
    </row>
    <row r="20" spans="1:77" ht="9.9499999999999993" customHeight="1">
      <c r="A20" s="134"/>
      <c r="O20" s="140"/>
      <c r="P20" s="176"/>
      <c r="Q20" s="143"/>
      <c r="R20" s="143"/>
      <c r="S20" s="143"/>
      <c r="T20" s="143"/>
      <c r="U20" s="143"/>
      <c r="V20" s="140"/>
      <c r="W20" s="140"/>
      <c r="X20" s="140"/>
      <c r="Y20" s="140"/>
      <c r="Z20" s="140"/>
      <c r="AA20" s="140"/>
      <c r="AD20" s="140"/>
      <c r="AE20" s="143"/>
      <c r="AF20" s="143"/>
      <c r="AG20" s="143"/>
      <c r="AH20" s="176"/>
      <c r="AI20" s="176"/>
      <c r="AO20" s="176"/>
      <c r="AP20" s="176"/>
      <c r="AQ20" s="140"/>
      <c r="BY20" s="134"/>
    </row>
    <row r="21" spans="1:77" ht="15" customHeight="1">
      <c r="A21" s="134"/>
      <c r="T21" s="140"/>
      <c r="U21" s="142"/>
      <c r="W21" s="283"/>
      <c r="X21" s="283"/>
      <c r="Y21" s="143"/>
      <c r="Z21" s="143"/>
      <c r="AA21" s="142"/>
      <c r="AD21" s="140"/>
      <c r="AE21" s="312"/>
      <c r="AF21" s="312"/>
      <c r="AG21" s="312"/>
      <c r="AH21" s="312"/>
      <c r="AI21" s="408"/>
      <c r="AJ21" s="409"/>
      <c r="AK21" s="316"/>
      <c r="AL21" s="312"/>
      <c r="AM21" s="312"/>
      <c r="AN21" s="312"/>
      <c r="AO21" s="312"/>
      <c r="AP21" s="312"/>
      <c r="AQ21" s="312"/>
      <c r="AR21" s="312"/>
      <c r="AS21" s="312"/>
      <c r="AT21" s="313"/>
      <c r="AU21" s="312"/>
      <c r="AV21" s="325"/>
      <c r="AW21" s="312"/>
      <c r="AY21" s="142"/>
      <c r="AZ21" s="142"/>
      <c r="BA21" s="142"/>
      <c r="BB21" s="142"/>
      <c r="BC21" s="142"/>
      <c r="BD21" s="142"/>
      <c r="BE21" s="142"/>
      <c r="BG21" s="142"/>
      <c r="BY21" s="134"/>
    </row>
    <row r="22" spans="1:77" ht="15" customHeight="1" thickBot="1">
      <c r="A22" s="134"/>
      <c r="T22" s="140"/>
      <c r="U22" s="287"/>
      <c r="W22" s="283"/>
      <c r="X22" s="283"/>
      <c r="Y22" s="143"/>
      <c r="Z22" s="143"/>
      <c r="AA22" s="287"/>
      <c r="AD22" s="140"/>
      <c r="AE22" s="317"/>
      <c r="AF22" s="318"/>
      <c r="AG22" s="317"/>
      <c r="AH22" s="318"/>
      <c r="AI22" s="409"/>
      <c r="AJ22" s="409"/>
      <c r="AK22" s="316"/>
      <c r="AL22" s="318"/>
      <c r="AM22" s="317"/>
      <c r="AN22" s="318"/>
      <c r="AO22" s="317"/>
      <c r="AP22" s="318"/>
      <c r="AQ22" s="317"/>
      <c r="AR22" s="323"/>
      <c r="AS22" s="317"/>
      <c r="AT22" s="313"/>
      <c r="AU22" s="317"/>
      <c r="AV22" s="325"/>
      <c r="AW22" s="317"/>
      <c r="AY22" s="287"/>
      <c r="AZ22" s="179"/>
      <c r="BA22" s="287"/>
      <c r="BB22" s="179"/>
      <c r="BC22" s="287"/>
      <c r="BD22" s="179"/>
      <c r="BE22" s="287"/>
      <c r="BG22" s="287"/>
      <c r="BY22" s="134"/>
    </row>
    <row r="23" spans="1:77" ht="9.9499999999999993" customHeight="1">
      <c r="A23" s="134"/>
      <c r="J23" s="407" t="str">
        <f>'Raw data &amp; Hourly Summary'!S3</f>
        <v>Wingate St</v>
      </c>
      <c r="O23" s="196"/>
      <c r="P23" s="197"/>
      <c r="Q23" s="198"/>
      <c r="T23" s="140"/>
      <c r="U23" s="176"/>
      <c r="W23" s="181"/>
      <c r="X23" s="181"/>
      <c r="Y23" s="140"/>
      <c r="Z23" s="140"/>
      <c r="AA23" s="143"/>
      <c r="AD23" s="140"/>
      <c r="AE23" s="319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3"/>
      <c r="AU23" s="316"/>
      <c r="AV23" s="320"/>
      <c r="AW23" s="319"/>
      <c r="AY23" s="143"/>
      <c r="AZ23" s="143"/>
      <c r="BA23" s="143"/>
      <c r="BB23" s="143"/>
      <c r="BC23" s="143"/>
      <c r="BD23" s="143"/>
      <c r="BE23" s="143"/>
      <c r="BG23" s="176"/>
      <c r="BK23" s="202"/>
      <c r="BL23" s="203"/>
      <c r="BM23" s="204"/>
      <c r="BR23" s="406" t="str">
        <f>'Raw data &amp; Hourly Summary'!AA3</f>
        <v>St Jude St</v>
      </c>
      <c r="BY23" s="134"/>
    </row>
    <row r="24" spans="1:77" ht="15" customHeight="1">
      <c r="A24" s="134"/>
      <c r="J24" s="407"/>
      <c r="M24" s="144" t="s">
        <v>8</v>
      </c>
      <c r="O24" s="205"/>
      <c r="P24" s="155">
        <f ca="1">'Raw data &amp; Hourly Summary'!CD131</f>
        <v>437</v>
      </c>
      <c r="Q24" s="206"/>
      <c r="T24" s="140"/>
      <c r="U24" s="142"/>
      <c r="W24" s="283"/>
      <c r="X24" s="283"/>
      <c r="Y24" s="143"/>
      <c r="Z24" s="143"/>
      <c r="AA24" s="142"/>
      <c r="AD24" s="140"/>
      <c r="AE24" s="312"/>
      <c r="AF24" s="312"/>
      <c r="AG24" s="312"/>
      <c r="AH24" s="312"/>
      <c r="AI24" s="408"/>
      <c r="AJ24" s="408"/>
      <c r="AK24" s="316"/>
      <c r="AL24" s="312"/>
      <c r="AM24" s="193" t="s">
        <v>98</v>
      </c>
      <c r="AN24" s="194"/>
      <c r="AO24" s="193">
        <v>16</v>
      </c>
      <c r="AP24" s="194"/>
      <c r="AQ24" s="193">
        <v>15</v>
      </c>
      <c r="AR24" s="194"/>
      <c r="AS24" s="193">
        <v>14</v>
      </c>
      <c r="AU24" s="193">
        <v>13</v>
      </c>
      <c r="AV24" s="325"/>
      <c r="AW24" s="312"/>
      <c r="AY24" s="142"/>
      <c r="AZ24" s="142"/>
      <c r="BA24" s="142"/>
      <c r="BB24" s="142"/>
      <c r="BC24" s="142"/>
      <c r="BD24" s="142"/>
      <c r="BE24" s="142"/>
      <c r="BG24" s="142"/>
      <c r="BK24" s="208"/>
      <c r="BL24" s="155">
        <f ca="1">'Raw data &amp; Hourly Summary'!CA131</f>
        <v>1632</v>
      </c>
      <c r="BM24" s="209"/>
      <c r="BO24" s="144" t="s">
        <v>8</v>
      </c>
      <c r="BR24" s="406"/>
      <c r="BY24" s="134"/>
    </row>
    <row r="25" spans="1:77" ht="15" customHeight="1">
      <c r="A25" s="134"/>
      <c r="J25" s="407"/>
      <c r="M25" s="147" t="s">
        <v>69</v>
      </c>
      <c r="O25" s="210"/>
      <c r="P25" s="166">
        <f ca="1">IF(P24=0,0,P24/IF(COUNTA('Raw data &amp; Hourly Summary'!$BQ$139:$BQ$152)&gt;='Raw data &amp; Hourly Summary'!$BQ$128,'Raw data &amp; Hourly Summary'!CD134,'Raw data &amp; Hourly Summary'!CD135))</f>
        <v>1</v>
      </c>
      <c r="Q25" s="211"/>
      <c r="T25" s="140"/>
      <c r="U25" s="287"/>
      <c r="W25" s="283"/>
      <c r="X25" s="283"/>
      <c r="Y25" s="143"/>
      <c r="Z25" s="143"/>
      <c r="AA25" s="287"/>
      <c r="AD25" s="140"/>
      <c r="AE25" s="317"/>
      <c r="AF25" s="318"/>
      <c r="AG25" s="317"/>
      <c r="AH25" s="318"/>
      <c r="AI25" s="408"/>
      <c r="AJ25" s="408"/>
      <c r="AK25" s="316"/>
      <c r="AL25" s="318"/>
      <c r="AM25" s="317"/>
      <c r="AN25" s="318"/>
      <c r="AO25" s="317"/>
      <c r="AP25" s="318"/>
      <c r="AQ25" s="317"/>
      <c r="AR25" s="323"/>
      <c r="AS25" s="317"/>
      <c r="AT25" s="313"/>
      <c r="AU25" s="317"/>
      <c r="AV25" s="325"/>
      <c r="AW25" s="317"/>
      <c r="AY25" s="287"/>
      <c r="AZ25" s="179"/>
      <c r="BA25" s="287"/>
      <c r="BB25" s="179"/>
      <c r="BC25" s="287"/>
      <c r="BD25" s="179"/>
      <c r="BE25" s="287"/>
      <c r="BG25" s="287"/>
      <c r="BK25" s="213"/>
      <c r="BL25" s="165">
        <f ca="1">IF(BL24=0,0,BL24/IF(COUNTA('Raw data &amp; Hourly Summary'!$BQ$139:$BQ$152)&gt;='Raw data &amp; Hourly Summary'!$BQ$128,'Raw data &amp; Hourly Summary'!CA134,'Raw data &amp; Hourly Summary'!CA135))</f>
        <v>1</v>
      </c>
      <c r="BM25" s="209"/>
      <c r="BO25" s="147" t="s">
        <v>70</v>
      </c>
      <c r="BR25" s="406"/>
      <c r="BY25" s="134"/>
    </row>
    <row r="26" spans="1:77" ht="9.75" customHeight="1">
      <c r="A26" s="134"/>
      <c r="J26" s="407"/>
      <c r="O26" s="210"/>
      <c r="P26" s="214"/>
      <c r="Q26" s="211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M26" s="140"/>
      <c r="AN26" s="140"/>
      <c r="AO26" s="140"/>
      <c r="AQ26" s="140"/>
      <c r="AU26" s="140"/>
      <c r="AY26" s="140"/>
      <c r="AZ26" s="140"/>
      <c r="BA26" s="140"/>
      <c r="BB26" s="140"/>
      <c r="BC26" s="140"/>
      <c r="BD26" s="140"/>
      <c r="BE26" s="140"/>
      <c r="BG26" s="140"/>
      <c r="BK26" s="213"/>
      <c r="BL26" s="216"/>
      <c r="BM26" s="209"/>
      <c r="BN26" s="140"/>
      <c r="BO26" s="140"/>
      <c r="BP26" s="140"/>
      <c r="BQ26" s="140"/>
      <c r="BR26" s="406"/>
      <c r="BS26" s="140"/>
      <c r="BY26" s="134"/>
    </row>
    <row r="27" spans="1:77" ht="15" customHeight="1">
      <c r="A27" s="134"/>
      <c r="J27" s="407"/>
      <c r="O27" s="217"/>
      <c r="P27" s="218">
        <f ca="1">'Raw data &amp; Hourly Summary'!CP128</f>
        <v>139</v>
      </c>
      <c r="Q27" s="206"/>
      <c r="S27" s="312"/>
      <c r="T27" s="326"/>
      <c r="U27" s="193">
        <v>17</v>
      </c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M27" s="140"/>
      <c r="AN27" s="140"/>
      <c r="AO27" s="140"/>
      <c r="AQ27" s="140"/>
      <c r="AU27" s="140"/>
      <c r="AW27" s="140"/>
      <c r="AY27" s="140"/>
      <c r="AZ27" s="140"/>
      <c r="BA27" s="140"/>
      <c r="BB27" s="140"/>
      <c r="BC27" s="140"/>
      <c r="BD27" s="140"/>
      <c r="BE27" s="140"/>
      <c r="BF27" s="140"/>
      <c r="BG27" s="312"/>
      <c r="BH27" s="312"/>
      <c r="BI27" s="312"/>
      <c r="BK27" s="221"/>
      <c r="BL27" s="216"/>
      <c r="BM27" s="209"/>
      <c r="BN27" s="140"/>
      <c r="BO27" s="140"/>
      <c r="BP27" s="140"/>
      <c r="BQ27" s="140"/>
      <c r="BR27" s="406"/>
      <c r="BS27" s="140"/>
      <c r="BY27" s="134"/>
    </row>
    <row r="28" spans="1:77" ht="15" customHeight="1">
      <c r="A28" s="134"/>
      <c r="J28" s="407"/>
      <c r="O28" s="217"/>
      <c r="P28" s="222">
        <f ca="1">IF(P27=0,0,P27/$P$24)</f>
        <v>0.3180778032036613</v>
      </c>
      <c r="Q28" s="211"/>
      <c r="S28" s="317"/>
      <c r="T28" s="318"/>
      <c r="U28" s="194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M28" s="140"/>
      <c r="AQ28" s="140"/>
      <c r="AU28" s="140"/>
      <c r="AW28" s="140"/>
      <c r="AY28" s="140"/>
      <c r="AZ28" s="140"/>
      <c r="BA28" s="140"/>
      <c r="BB28" s="140"/>
      <c r="BC28" s="140"/>
      <c r="BD28" s="140"/>
      <c r="BE28" s="140"/>
      <c r="BF28" s="140"/>
      <c r="BG28" s="317"/>
      <c r="BH28" s="318"/>
      <c r="BI28" s="317"/>
      <c r="BK28" s="221"/>
      <c r="BL28" s="216"/>
      <c r="BM28" s="209"/>
      <c r="BN28" s="176"/>
      <c r="BO28" s="140"/>
      <c r="BP28" s="140"/>
      <c r="BQ28" s="140"/>
      <c r="BR28" s="406"/>
      <c r="BS28" s="140"/>
      <c r="BY28" s="134"/>
    </row>
    <row r="29" spans="1:77" ht="9.75" customHeight="1">
      <c r="A29" s="134"/>
      <c r="J29" s="407"/>
      <c r="O29" s="217"/>
      <c r="P29" s="214"/>
      <c r="Q29" s="211"/>
      <c r="S29" s="327"/>
      <c r="T29" s="316"/>
      <c r="U29" s="193"/>
      <c r="V29" s="140"/>
      <c r="W29" s="140"/>
      <c r="X29" s="140"/>
      <c r="Y29" s="140"/>
      <c r="Z29" s="140"/>
      <c r="AA29" s="140"/>
      <c r="AB29" s="140"/>
      <c r="AC29" s="193"/>
      <c r="AD29" s="194"/>
      <c r="AE29" s="193"/>
      <c r="AF29" s="194"/>
      <c r="AG29" s="193"/>
      <c r="AH29" s="194"/>
      <c r="AI29" s="193"/>
      <c r="AJ29" s="140"/>
      <c r="AY29" s="140"/>
      <c r="AZ29" s="140"/>
      <c r="BA29" s="140"/>
      <c r="BB29" s="140"/>
      <c r="BC29" s="140"/>
      <c r="BD29" s="140"/>
      <c r="BE29" s="140"/>
      <c r="BG29" s="321"/>
      <c r="BH29" s="319"/>
      <c r="BI29" s="321"/>
      <c r="BK29" s="221"/>
      <c r="BL29" s="216"/>
      <c r="BM29" s="209"/>
      <c r="BN29" s="176"/>
      <c r="BO29" s="140"/>
      <c r="BP29" s="140"/>
      <c r="BQ29" s="140"/>
      <c r="BR29" s="406"/>
      <c r="BS29" s="140"/>
      <c r="BY29" s="134"/>
    </row>
    <row r="30" spans="1:77" ht="15" customHeight="1">
      <c r="A30" s="134"/>
      <c r="J30" s="407"/>
      <c r="O30" s="217"/>
      <c r="P30" s="218">
        <f ca="1">'Raw data &amp; Hourly Summary'!CQ128</f>
        <v>80</v>
      </c>
      <c r="Q30" s="206"/>
      <c r="R30" s="140"/>
      <c r="S30" s="328"/>
      <c r="T30" s="312"/>
      <c r="U30" s="193">
        <v>18</v>
      </c>
      <c r="V30" s="140"/>
      <c r="W30" s="140"/>
      <c r="Z30" s="140"/>
      <c r="AA30" s="193"/>
      <c r="AB30" s="140"/>
      <c r="AW30" s="193"/>
      <c r="AY30" s="193"/>
      <c r="AZ30" s="194"/>
      <c r="BA30" s="193"/>
      <c r="BB30" s="194"/>
      <c r="BC30" s="193"/>
      <c r="BD30" s="194"/>
      <c r="BE30" s="193"/>
      <c r="BG30" s="408"/>
      <c r="BH30" s="314"/>
      <c r="BI30" s="408"/>
      <c r="BK30" s="221"/>
      <c r="BL30" s="216"/>
      <c r="BM30" s="209"/>
      <c r="BN30" s="140"/>
      <c r="BO30" s="140"/>
      <c r="BP30" s="140"/>
      <c r="BQ30" s="140"/>
      <c r="BR30" s="406"/>
      <c r="BS30" s="140"/>
      <c r="BY30" s="134"/>
    </row>
    <row r="31" spans="1:77" ht="15" customHeight="1">
      <c r="A31" s="134"/>
      <c r="J31" s="407"/>
      <c r="O31" s="217"/>
      <c r="P31" s="222">
        <f ca="1">IF(P30=0,0,P30/$P$24)</f>
        <v>0.18306636155606407</v>
      </c>
      <c r="Q31" s="211"/>
      <c r="R31" s="140"/>
      <c r="S31" s="317"/>
      <c r="T31" s="329"/>
      <c r="U31" s="194"/>
      <c r="V31" s="145"/>
      <c r="W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BG31" s="408"/>
      <c r="BH31" s="314"/>
      <c r="BI31" s="408"/>
      <c r="BK31" s="221"/>
      <c r="BL31" s="216"/>
      <c r="BM31" s="209"/>
      <c r="BN31" s="143"/>
      <c r="BO31" s="140"/>
      <c r="BP31" s="140"/>
      <c r="BQ31" s="140"/>
      <c r="BR31" s="406"/>
      <c r="BS31" s="140"/>
      <c r="BY31" s="134"/>
    </row>
    <row r="32" spans="1:77" ht="9.9499999999999993" customHeight="1">
      <c r="A32" s="134"/>
      <c r="J32" s="407"/>
      <c r="O32" s="217"/>
      <c r="P32" s="214"/>
      <c r="Q32" s="211"/>
      <c r="R32" s="140"/>
      <c r="S32" s="327"/>
      <c r="T32" s="316"/>
      <c r="U32" s="193"/>
      <c r="V32" s="140"/>
      <c r="W32" s="140"/>
      <c r="Z32" s="140"/>
      <c r="AA32" s="140"/>
      <c r="AB32" s="140"/>
      <c r="BG32" s="408"/>
      <c r="BH32" s="314"/>
      <c r="BI32" s="408"/>
      <c r="BK32" s="221"/>
      <c r="BL32" s="216"/>
      <c r="BM32" s="209"/>
      <c r="BN32" s="223"/>
      <c r="BO32" s="140"/>
      <c r="BP32" s="140"/>
      <c r="BQ32" s="140"/>
      <c r="BR32" s="406"/>
      <c r="BS32" s="140"/>
      <c r="BY32" s="134"/>
    </row>
    <row r="33" spans="1:77" ht="15" customHeight="1">
      <c r="A33" s="134"/>
      <c r="J33" s="407"/>
      <c r="O33" s="217"/>
      <c r="P33" s="218">
        <f ca="1">'Raw data &amp; Hourly Summary'!CR128</f>
        <v>107</v>
      </c>
      <c r="Q33" s="206"/>
      <c r="R33" s="140"/>
      <c r="S33" s="328"/>
      <c r="T33" s="322"/>
      <c r="U33" s="193">
        <v>19</v>
      </c>
      <c r="V33" s="140"/>
      <c r="W33" s="140"/>
      <c r="Z33" s="140"/>
      <c r="AA33" s="140"/>
      <c r="AB33" s="140"/>
      <c r="BG33" s="193" t="s">
        <v>99</v>
      </c>
      <c r="BH33" s="314"/>
      <c r="BI33" s="316"/>
      <c r="BK33" s="221"/>
      <c r="BL33" s="226">
        <f ca="1">'Raw data &amp; Hourly Summary'!CJ128</f>
        <v>10</v>
      </c>
      <c r="BM33" s="209"/>
      <c r="BN33" s="140"/>
      <c r="BO33" s="140"/>
      <c r="BP33" s="140"/>
      <c r="BQ33" s="140"/>
      <c r="BR33" s="406"/>
      <c r="BS33" s="140"/>
      <c r="BY33" s="134"/>
    </row>
    <row r="34" spans="1:77" ht="15" customHeight="1">
      <c r="A34" s="134"/>
      <c r="J34" s="407"/>
      <c r="O34" s="217"/>
      <c r="P34" s="222">
        <f ca="1">IF(P33=0,0,P33/$P$24)</f>
        <v>0.24485125858123569</v>
      </c>
      <c r="Q34" s="211"/>
      <c r="S34" s="317"/>
      <c r="T34" s="329"/>
      <c r="U34" s="193"/>
      <c r="V34" s="140"/>
      <c r="W34" s="140"/>
      <c r="Z34" s="140"/>
      <c r="AA34" s="140"/>
      <c r="AB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94"/>
      <c r="BH34" s="314"/>
      <c r="BI34" s="316"/>
      <c r="BK34" s="221"/>
      <c r="BL34" s="228">
        <f ca="1">IF(BL33=0,0,BL33/$BL$48)</f>
        <v>3.7425149700598802E-3</v>
      </c>
      <c r="BM34" s="209"/>
      <c r="BN34" s="143"/>
      <c r="BO34" s="140"/>
      <c r="BP34" s="140"/>
      <c r="BQ34" s="140"/>
      <c r="BR34" s="406"/>
      <c r="BS34" s="140"/>
      <c r="BY34" s="134"/>
    </row>
    <row r="35" spans="1:77" ht="9.9499999999999993" customHeight="1">
      <c r="A35" s="134"/>
      <c r="J35" s="407"/>
      <c r="O35" s="217"/>
      <c r="P35" s="214"/>
      <c r="Q35" s="211"/>
      <c r="S35" s="324"/>
      <c r="T35" s="324"/>
      <c r="U35" s="194"/>
      <c r="V35" s="140"/>
      <c r="W35" s="140"/>
      <c r="Z35" s="140"/>
      <c r="AA35" s="140"/>
      <c r="AB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93"/>
      <c r="BH35" s="314"/>
      <c r="BI35" s="314"/>
      <c r="BK35" s="221"/>
      <c r="BL35" s="216"/>
      <c r="BM35" s="209"/>
      <c r="BN35" s="140"/>
      <c r="BO35" s="140"/>
      <c r="BP35" s="140"/>
      <c r="BQ35" s="140"/>
      <c r="BR35" s="406"/>
      <c r="BS35" s="140"/>
      <c r="BY35" s="134"/>
    </row>
    <row r="36" spans="1:77" ht="15" customHeight="1">
      <c r="A36" s="134"/>
      <c r="J36" s="407"/>
      <c r="O36" s="229"/>
      <c r="P36" s="218">
        <f ca="1">'Raw data &amp; Hourly Summary'!CS128</f>
        <v>110</v>
      </c>
      <c r="Q36" s="206"/>
      <c r="R36" s="140"/>
      <c r="S36" s="312"/>
      <c r="T36" s="322"/>
      <c r="U36" s="193">
        <v>20</v>
      </c>
      <c r="V36" s="140"/>
      <c r="W36" s="140"/>
      <c r="Z36" s="140"/>
      <c r="AA36" s="140"/>
      <c r="AB36" s="140"/>
      <c r="AX36" s="140"/>
      <c r="AY36" s="140"/>
      <c r="AZ36" s="140"/>
      <c r="BA36" s="140"/>
      <c r="BB36" s="140"/>
      <c r="BD36" s="140"/>
      <c r="BE36" s="140"/>
      <c r="BF36" s="140"/>
      <c r="BG36" s="193">
        <v>12</v>
      </c>
      <c r="BH36" s="322"/>
      <c r="BI36" s="312"/>
      <c r="BK36" s="225"/>
      <c r="BL36" s="226">
        <f ca="1">'Raw data &amp; Hourly Summary'!CI128</f>
        <v>156</v>
      </c>
      <c r="BM36" s="209"/>
      <c r="BN36" s="140"/>
      <c r="BO36" s="140"/>
      <c r="BP36" s="140"/>
      <c r="BQ36" s="140"/>
      <c r="BR36" s="406"/>
      <c r="BS36" s="140"/>
      <c r="BY36" s="134"/>
    </row>
    <row r="37" spans="1:77" ht="15" customHeight="1">
      <c r="A37" s="134"/>
      <c r="J37" s="407"/>
      <c r="O37" s="229"/>
      <c r="P37" s="222">
        <f ca="1">IF(P36=0,0,P36/$P$24)</f>
        <v>0.25171624713958812</v>
      </c>
      <c r="Q37" s="211"/>
      <c r="R37" s="195"/>
      <c r="S37" s="317"/>
      <c r="T37" s="329"/>
      <c r="U37" s="140"/>
      <c r="V37" s="140"/>
      <c r="W37" s="140"/>
      <c r="Z37" s="193"/>
      <c r="AA37" s="193"/>
      <c r="AB37" s="140"/>
      <c r="AX37" s="140"/>
      <c r="AY37" s="140"/>
      <c r="AZ37" s="140"/>
      <c r="BA37" s="140"/>
      <c r="BB37" s="140"/>
      <c r="BD37" s="140"/>
      <c r="BE37" s="140"/>
      <c r="BF37" s="140"/>
      <c r="BG37" s="194"/>
      <c r="BH37" s="323"/>
      <c r="BI37" s="317"/>
      <c r="BK37" s="227"/>
      <c r="BL37" s="228">
        <f ca="1">IF(BL36=0,0,BL36/$BL$48)</f>
        <v>5.8383233532934134E-2</v>
      </c>
      <c r="BM37" s="209"/>
      <c r="BN37" s="224"/>
      <c r="BO37" s="140"/>
      <c r="BP37" s="140"/>
      <c r="BQ37" s="140"/>
      <c r="BR37" s="406"/>
      <c r="BS37" s="140"/>
      <c r="BY37" s="134"/>
    </row>
    <row r="38" spans="1:77" ht="9.9499999999999993" customHeight="1">
      <c r="A38" s="134"/>
      <c r="J38" s="407"/>
      <c r="O38" s="217"/>
      <c r="P38" s="214"/>
      <c r="Q38" s="211"/>
      <c r="R38" s="212"/>
      <c r="S38" s="324"/>
      <c r="T38" s="324"/>
      <c r="U38" s="140"/>
      <c r="V38" s="140"/>
      <c r="W38" s="140"/>
      <c r="Z38" s="194"/>
      <c r="AA38" s="194"/>
      <c r="AB38" s="140"/>
      <c r="AX38" s="140"/>
      <c r="AY38" s="140"/>
      <c r="AZ38" s="140"/>
      <c r="BA38" s="140"/>
      <c r="BB38" s="140"/>
      <c r="BD38" s="140"/>
      <c r="BE38" s="140"/>
      <c r="BF38" s="140"/>
      <c r="BG38" s="193"/>
      <c r="BH38" s="313"/>
      <c r="BI38" s="313"/>
      <c r="BK38" s="221"/>
      <c r="BL38" s="216"/>
      <c r="BM38" s="209"/>
      <c r="BN38" s="143"/>
      <c r="BO38" s="140"/>
      <c r="BP38" s="140"/>
      <c r="BQ38" s="140"/>
      <c r="BR38" s="406"/>
      <c r="BS38" s="140"/>
      <c r="BY38" s="134"/>
    </row>
    <row r="39" spans="1:77" ht="15" customHeight="1">
      <c r="A39" s="134"/>
      <c r="I39" s="143"/>
      <c r="J39" s="407"/>
      <c r="N39" s="140"/>
      <c r="O39" s="217"/>
      <c r="P39" s="218">
        <f ca="1">'Raw data &amp; Hourly Summary'!CT128</f>
        <v>1</v>
      </c>
      <c r="Q39" s="211"/>
      <c r="R39" s="215"/>
      <c r="S39" s="312"/>
      <c r="T39" s="322"/>
      <c r="U39" s="193" t="s">
        <v>88</v>
      </c>
      <c r="V39" s="140"/>
      <c r="W39" s="140"/>
      <c r="Z39" s="193"/>
      <c r="AA39" s="193"/>
      <c r="AB39" s="140"/>
      <c r="AH39" s="300"/>
      <c r="AI39" s="301"/>
      <c r="AJ39" s="301"/>
      <c r="AK39" s="301"/>
      <c r="AL39" s="302"/>
      <c r="AM39" s="302"/>
      <c r="AN39" s="301"/>
      <c r="AO39" s="301"/>
      <c r="AP39" s="301"/>
      <c r="AQ39" s="301"/>
      <c r="AR39" s="301"/>
      <c r="AS39" s="301"/>
      <c r="AT39" s="301"/>
      <c r="AU39" s="303"/>
      <c r="AX39" s="140"/>
      <c r="AY39" s="140"/>
      <c r="AZ39" s="140"/>
      <c r="BA39" s="140"/>
      <c r="BB39" s="140"/>
      <c r="BD39" s="140"/>
      <c r="BE39" s="140"/>
      <c r="BF39" s="140"/>
      <c r="BG39" s="193">
        <v>11</v>
      </c>
      <c r="BH39" s="322"/>
      <c r="BI39" s="312"/>
      <c r="BJ39" s="140"/>
      <c r="BK39" s="225"/>
      <c r="BL39" s="226">
        <f ca="1">'Raw data &amp; Hourly Summary'!CH128</f>
        <v>123</v>
      </c>
      <c r="BM39" s="209"/>
      <c r="BN39" s="143"/>
      <c r="BO39" s="140"/>
      <c r="BP39" s="140"/>
      <c r="BQ39" s="140"/>
      <c r="BR39" s="406"/>
      <c r="BS39" s="140"/>
      <c r="BY39" s="134"/>
    </row>
    <row r="40" spans="1:77" ht="15" customHeight="1">
      <c r="A40" s="134"/>
      <c r="I40" s="140"/>
      <c r="J40" s="407"/>
      <c r="N40" s="201"/>
      <c r="O40" s="217"/>
      <c r="P40" s="222">
        <f ca="1">IF(P39=0,0,P39/$P$24)</f>
        <v>2.2883295194508009E-3</v>
      </c>
      <c r="Q40" s="211"/>
      <c r="R40" s="219"/>
      <c r="S40" s="317"/>
      <c r="T40" s="329"/>
      <c r="U40" s="317"/>
      <c r="V40" s="140"/>
      <c r="W40" s="140"/>
      <c r="X40" s="140"/>
      <c r="Z40" s="193"/>
      <c r="AA40" s="193"/>
      <c r="AB40" s="140"/>
      <c r="AH40" s="304"/>
      <c r="AJ40" s="137" t="s">
        <v>28</v>
      </c>
      <c r="AK40" s="140"/>
      <c r="AN40" s="411">
        <f>'Peak Hr Summary'!B16</f>
        <v>0.34375000749999979</v>
      </c>
      <c r="AO40" s="411"/>
      <c r="AP40" s="140"/>
      <c r="AQ40" s="223" t="s">
        <v>9</v>
      </c>
      <c r="AS40" s="305">
        <f>AN40+"1:00"</f>
        <v>0.38541667416666647</v>
      </c>
      <c r="AT40" s="305"/>
      <c r="AU40" s="306"/>
      <c r="AX40" s="140"/>
      <c r="AY40" s="140"/>
      <c r="AZ40" s="140"/>
      <c r="BA40" s="140"/>
      <c r="BB40" s="140"/>
      <c r="BD40" s="140"/>
      <c r="BE40" s="140"/>
      <c r="BF40" s="140"/>
      <c r="BG40" s="193"/>
      <c r="BH40" s="323"/>
      <c r="BI40" s="317"/>
      <c r="BJ40" s="142"/>
      <c r="BK40" s="227"/>
      <c r="BL40" s="228">
        <f ca="1">IF(BL39=0,0,BL39/$BL$48)</f>
        <v>4.6032934131736529E-2</v>
      </c>
      <c r="BM40" s="209"/>
      <c r="BN40" s="143"/>
      <c r="BO40" s="140"/>
      <c r="BP40" s="140"/>
      <c r="BQ40" s="140"/>
      <c r="BR40" s="406"/>
      <c r="BS40" s="140"/>
      <c r="BY40" s="134"/>
    </row>
    <row r="41" spans="1:77" ht="9.9499999999999993" customHeight="1">
      <c r="A41" s="134"/>
      <c r="I41" s="140"/>
      <c r="J41" s="407"/>
      <c r="N41" s="176"/>
      <c r="O41" s="217"/>
      <c r="P41" s="214"/>
      <c r="Q41" s="211"/>
      <c r="R41" s="215"/>
      <c r="S41" s="316"/>
      <c r="T41" s="316"/>
      <c r="U41" s="314"/>
      <c r="V41" s="140"/>
      <c r="W41" s="140"/>
      <c r="X41" s="140"/>
      <c r="Z41" s="194"/>
      <c r="AA41" s="194"/>
      <c r="AB41" s="140"/>
      <c r="AH41" s="304"/>
      <c r="AJ41" s="140"/>
      <c r="AK41" s="140"/>
      <c r="AN41" s="140"/>
      <c r="AO41" s="140"/>
      <c r="AP41" s="140"/>
      <c r="AQ41" s="223"/>
      <c r="AS41" s="307"/>
      <c r="AT41" s="307"/>
      <c r="AU41" s="306"/>
      <c r="AX41" s="140"/>
      <c r="AY41" s="143"/>
      <c r="AZ41" s="140"/>
      <c r="BA41" s="140"/>
      <c r="BB41" s="140"/>
      <c r="BD41" s="140"/>
      <c r="BE41" s="140"/>
      <c r="BF41" s="140"/>
      <c r="BG41" s="194"/>
      <c r="BH41" s="324"/>
      <c r="BI41" s="316"/>
      <c r="BJ41" s="179"/>
      <c r="BK41" s="221"/>
      <c r="BL41" s="216"/>
      <c r="BM41" s="209"/>
      <c r="BN41" s="143"/>
      <c r="BO41" s="140"/>
      <c r="BP41" s="140"/>
      <c r="BQ41" s="140"/>
      <c r="BR41" s="406"/>
      <c r="BS41" s="140"/>
      <c r="BY41" s="134"/>
    </row>
    <row r="42" spans="1:77" ht="15" customHeight="1">
      <c r="A42" s="134"/>
      <c r="I42" s="140"/>
      <c r="J42" s="407"/>
      <c r="N42" s="176"/>
      <c r="O42" s="229"/>
      <c r="P42" s="214"/>
      <c r="Q42" s="211"/>
      <c r="R42" s="199"/>
      <c r="S42" s="312"/>
      <c r="T42" s="322"/>
      <c r="U42" s="312"/>
      <c r="V42" s="140"/>
      <c r="W42" s="140"/>
      <c r="X42" s="140"/>
      <c r="Z42" s="193"/>
      <c r="AA42" s="193"/>
      <c r="AB42" s="140"/>
      <c r="AH42" s="304"/>
      <c r="AJ42" s="137" t="s">
        <v>29</v>
      </c>
      <c r="AK42" s="140"/>
      <c r="AN42" s="411">
        <f>'Peak Hr Summary'!B17</f>
        <v>0.67708333916666685</v>
      </c>
      <c r="AO42" s="411"/>
      <c r="AP42" s="140"/>
      <c r="AQ42" s="223" t="s">
        <v>9</v>
      </c>
      <c r="AS42" s="305">
        <f>AN42+"1:00"</f>
        <v>0.71875000583333348</v>
      </c>
      <c r="AT42" s="305"/>
      <c r="AU42" s="306"/>
      <c r="AY42" s="143"/>
      <c r="AZ42" s="140"/>
      <c r="BA42" s="140"/>
      <c r="BB42" s="140"/>
      <c r="BD42" s="140"/>
      <c r="BE42" s="140"/>
      <c r="BF42" s="140"/>
      <c r="BG42" s="193">
        <v>10</v>
      </c>
      <c r="BH42" s="322"/>
      <c r="BI42" s="312"/>
      <c r="BJ42" s="176"/>
      <c r="BK42" s="225"/>
      <c r="BL42" s="226">
        <f ca="1">'Raw data &amp; Hourly Summary'!CG128</f>
        <v>2071</v>
      </c>
      <c r="BM42" s="209"/>
      <c r="BN42" s="143"/>
      <c r="BO42" s="140"/>
      <c r="BP42" s="140"/>
      <c r="BQ42" s="140"/>
      <c r="BR42" s="406"/>
      <c r="BS42" s="140"/>
      <c r="BY42" s="134"/>
    </row>
    <row r="43" spans="1:77" ht="15" customHeight="1">
      <c r="A43" s="134"/>
      <c r="I43" s="140"/>
      <c r="J43" s="407"/>
      <c r="N43" s="143"/>
      <c r="O43" s="229"/>
      <c r="P43" s="214"/>
      <c r="Q43" s="211"/>
      <c r="R43" s="195"/>
      <c r="S43" s="317"/>
      <c r="T43" s="329"/>
      <c r="U43" s="317"/>
      <c r="V43" s="140"/>
      <c r="W43" s="140"/>
      <c r="X43" s="140"/>
      <c r="Y43" s="140"/>
      <c r="Z43" s="193"/>
      <c r="AA43" s="193"/>
      <c r="AB43" s="140"/>
      <c r="AH43" s="308"/>
      <c r="AI43" s="309"/>
      <c r="AJ43" s="309"/>
      <c r="AK43" s="309"/>
      <c r="AL43" s="310"/>
      <c r="AM43" s="310"/>
      <c r="AN43" s="309"/>
      <c r="AO43" s="309"/>
      <c r="AP43" s="309"/>
      <c r="AQ43" s="309"/>
      <c r="AR43" s="309"/>
      <c r="AS43" s="309"/>
      <c r="AT43" s="309"/>
      <c r="AU43" s="311"/>
      <c r="AX43" s="140"/>
      <c r="AY43" s="143"/>
      <c r="AZ43" s="140"/>
      <c r="BA43" s="140"/>
      <c r="BB43" s="140"/>
      <c r="BG43" s="140"/>
      <c r="BH43" s="323"/>
      <c r="BI43" s="317"/>
      <c r="BK43" s="221"/>
      <c r="BL43" s="228">
        <f ca="1">IF(BL42=0,0,BL42/$BL$48)</f>
        <v>0.77507485029940115</v>
      </c>
      <c r="BM43" s="209"/>
      <c r="BN43" s="143"/>
      <c r="BO43" s="140"/>
      <c r="BP43" s="140"/>
      <c r="BQ43" s="140"/>
      <c r="BR43" s="406"/>
      <c r="BS43" s="140"/>
      <c r="BY43" s="134"/>
    </row>
    <row r="44" spans="1:77" ht="9.9499999999999993" customHeight="1">
      <c r="A44" s="134"/>
      <c r="I44" s="140"/>
      <c r="J44" s="407"/>
      <c r="N44" s="143"/>
      <c r="O44" s="217"/>
      <c r="P44" s="214"/>
      <c r="Q44" s="211"/>
      <c r="R44" s="140"/>
      <c r="S44" s="313"/>
      <c r="T44" s="313"/>
      <c r="U44" s="313"/>
      <c r="V44" s="140"/>
      <c r="W44" s="140"/>
      <c r="X44" s="140"/>
      <c r="Y44" s="140"/>
      <c r="Z44" s="193"/>
      <c r="AA44" s="193"/>
      <c r="AB44" s="140"/>
      <c r="AX44" s="140"/>
      <c r="AY44" s="290"/>
      <c r="AZ44" s="140"/>
      <c r="BA44" s="140"/>
      <c r="BB44" s="140"/>
      <c r="BG44" s="140"/>
      <c r="BH44" s="324"/>
      <c r="BI44" s="316"/>
      <c r="BK44" s="221"/>
      <c r="BL44" s="216"/>
      <c r="BM44" s="209"/>
      <c r="BN44" s="143"/>
      <c r="BO44" s="140"/>
      <c r="BP44" s="140"/>
      <c r="BQ44" s="140"/>
      <c r="BR44" s="406"/>
      <c r="BS44" s="140"/>
      <c r="BY44" s="134"/>
    </row>
    <row r="45" spans="1:77" ht="15" customHeight="1">
      <c r="A45" s="134"/>
      <c r="I45" s="140"/>
      <c r="J45" s="407"/>
      <c r="N45" s="143"/>
      <c r="O45" s="229"/>
      <c r="P45" s="214"/>
      <c r="Q45" s="211"/>
      <c r="R45" s="140"/>
      <c r="S45" s="408"/>
      <c r="T45" s="314"/>
      <c r="U45" s="408"/>
      <c r="V45" s="140"/>
      <c r="W45" s="140"/>
      <c r="X45" s="140"/>
      <c r="Y45" s="140"/>
      <c r="Z45" s="194"/>
      <c r="AA45" s="194"/>
      <c r="AB45" s="140"/>
      <c r="AX45" s="140"/>
      <c r="AY45" s="290"/>
      <c r="AZ45" s="140"/>
      <c r="BA45" s="140"/>
      <c r="BB45" s="140"/>
      <c r="BG45" s="193">
        <v>9</v>
      </c>
      <c r="BH45" s="322"/>
      <c r="BI45" s="312"/>
      <c r="BK45" s="230"/>
      <c r="BL45" s="226">
        <f ca="1">'Raw data &amp; Hourly Summary'!CF128</f>
        <v>312</v>
      </c>
      <c r="BM45" s="209"/>
      <c r="BN45" s="143"/>
      <c r="BO45" s="140"/>
      <c r="BP45" s="140"/>
      <c r="BQ45" s="140"/>
      <c r="BR45" s="406"/>
      <c r="BS45" s="140"/>
      <c r="BY45" s="134"/>
    </row>
    <row r="46" spans="1:77" ht="15" customHeight="1">
      <c r="A46" s="134"/>
      <c r="I46" s="140"/>
      <c r="J46" s="407"/>
      <c r="N46" s="143"/>
      <c r="O46" s="217"/>
      <c r="P46" s="214"/>
      <c r="Q46" s="211"/>
      <c r="R46" s="219"/>
      <c r="S46" s="409"/>
      <c r="T46" s="314"/>
      <c r="U46" s="410"/>
      <c r="V46" s="140"/>
      <c r="W46" s="140"/>
      <c r="X46" s="140"/>
      <c r="Y46" s="140"/>
      <c r="Z46" s="193"/>
      <c r="AA46" s="193"/>
      <c r="AB46" s="140"/>
      <c r="AX46" s="140"/>
      <c r="AY46" s="140"/>
      <c r="AZ46" s="140"/>
      <c r="BA46" s="140"/>
      <c r="BB46" s="140"/>
      <c r="BE46" s="143"/>
      <c r="BF46" s="249"/>
      <c r="BG46" s="317"/>
      <c r="BH46" s="323"/>
      <c r="BI46" s="317"/>
      <c r="BJ46" s="140"/>
      <c r="BK46" s="221"/>
      <c r="BL46" s="228">
        <f ca="1">IF(BL45=0,0,BL45/$BL$48)</f>
        <v>0.11676646706586827</v>
      </c>
      <c r="BM46" s="209"/>
      <c r="BN46" s="143"/>
      <c r="BO46" s="140"/>
      <c r="BP46" s="140"/>
      <c r="BQ46" s="140"/>
      <c r="BR46" s="406"/>
      <c r="BS46" s="140"/>
      <c r="BY46" s="134"/>
    </row>
    <row r="47" spans="1:77" ht="9.9499999999999993" customHeight="1">
      <c r="A47" s="134"/>
      <c r="I47" s="140"/>
      <c r="J47" s="407"/>
      <c r="N47" s="143"/>
      <c r="O47" s="217"/>
      <c r="P47" s="214"/>
      <c r="Q47" s="211"/>
      <c r="R47" s="199"/>
      <c r="S47" s="409"/>
      <c r="T47" s="316"/>
      <c r="U47" s="410"/>
      <c r="V47" s="140"/>
      <c r="W47" s="140"/>
      <c r="X47" s="140"/>
      <c r="Y47" s="140"/>
      <c r="Z47" s="140"/>
      <c r="AA47" s="140"/>
      <c r="AB47" s="140"/>
      <c r="AX47" s="140"/>
      <c r="AY47" s="140"/>
      <c r="AZ47" s="140"/>
      <c r="BA47" s="140"/>
      <c r="BB47" s="140"/>
      <c r="BE47" s="143"/>
      <c r="BF47" s="249"/>
      <c r="BG47" s="316"/>
      <c r="BH47" s="324"/>
      <c r="BI47" s="316"/>
      <c r="BJ47" s="140"/>
      <c r="BK47" s="221"/>
      <c r="BL47" s="216"/>
      <c r="BM47" s="209"/>
      <c r="BN47" s="143"/>
      <c r="BO47" s="140"/>
      <c r="BP47" s="140"/>
      <c r="BQ47" s="140"/>
      <c r="BR47" s="406"/>
      <c r="BS47" s="140"/>
      <c r="BY47" s="134"/>
    </row>
    <row r="48" spans="1:77" ht="15" customHeight="1">
      <c r="A48" s="134"/>
      <c r="H48" s="289"/>
      <c r="I48" s="140"/>
      <c r="J48" s="407"/>
      <c r="M48" s="144" t="s">
        <v>8</v>
      </c>
      <c r="N48" s="143"/>
      <c r="O48" s="205"/>
      <c r="P48" s="155">
        <f ca="1">'Raw data &amp; Hourly Summary'!CE131</f>
        <v>498</v>
      </c>
      <c r="Q48" s="211"/>
      <c r="R48" s="143"/>
      <c r="S48" s="316"/>
      <c r="T48" s="314"/>
      <c r="U48" s="316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E48" s="140"/>
      <c r="BF48" s="140"/>
      <c r="BG48" s="312"/>
      <c r="BH48" s="322"/>
      <c r="BI48" s="312"/>
      <c r="BJ48" s="140"/>
      <c r="BK48" s="208"/>
      <c r="BL48" s="155">
        <f ca="1">'Raw data &amp; Hourly Summary'!BZ131</f>
        <v>2672</v>
      </c>
      <c r="BM48" s="209"/>
      <c r="BN48" s="143"/>
      <c r="BO48" s="144" t="s">
        <v>8</v>
      </c>
      <c r="BP48" s="140"/>
      <c r="BQ48" s="140"/>
      <c r="BR48" s="406"/>
      <c r="BS48" s="140"/>
      <c r="BT48" s="289"/>
      <c r="BY48" s="134"/>
    </row>
    <row r="49" spans="1:77" ht="15" customHeight="1">
      <c r="A49" s="134"/>
      <c r="H49" s="289"/>
      <c r="I49" s="140"/>
      <c r="J49" s="407"/>
      <c r="M49" s="147" t="s">
        <v>70</v>
      </c>
      <c r="N49" s="143"/>
      <c r="O49" s="205"/>
      <c r="P49" s="165">
        <f ca="1">IF(P48=0,0,P48/IF(COUNTA('Raw data &amp; Hourly Summary'!$BQ$139:$BQ$152)&gt;='Raw data &amp; Hourly Summary'!$BQ$128,'Raw data &amp; Hourly Summary'!CE134,'Raw data &amp; Hourly Summary'!CE135))</f>
        <v>1</v>
      </c>
      <c r="Q49" s="211"/>
      <c r="R49" s="195"/>
      <c r="S49" s="316"/>
      <c r="T49" s="314"/>
      <c r="U49" s="316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93"/>
      <c r="BE49" s="140"/>
      <c r="BF49" s="249"/>
      <c r="BG49" s="317"/>
      <c r="BH49" s="323"/>
      <c r="BI49" s="317"/>
      <c r="BJ49" s="140"/>
      <c r="BK49" s="231"/>
      <c r="BL49" s="165">
        <f ca="1">IF(BL48=0,0,BL48/IF(COUNTA('Raw data &amp; Hourly Summary'!$BQ$139:$BQ$152)&gt;='Raw data &amp; Hourly Summary'!$BQ$128,'Raw data &amp; Hourly Summary'!BZ134,'Raw data &amp; Hourly Summary'!BZ135))</f>
        <v>1</v>
      </c>
      <c r="BM49" s="209"/>
      <c r="BN49" s="143"/>
      <c r="BO49" s="147" t="s">
        <v>69</v>
      </c>
      <c r="BP49" s="143"/>
      <c r="BQ49" s="143"/>
      <c r="BR49" s="406"/>
      <c r="BS49" s="140"/>
      <c r="BT49" s="289"/>
      <c r="BY49" s="134"/>
    </row>
    <row r="50" spans="1:77" ht="9.9499999999999993" customHeight="1" thickBot="1">
      <c r="A50" s="134"/>
      <c r="H50" s="289"/>
      <c r="I50" s="140"/>
      <c r="N50" s="143"/>
      <c r="O50" s="232"/>
      <c r="P50" s="233"/>
      <c r="Q50" s="234"/>
      <c r="R50" s="140"/>
      <c r="S50" s="316"/>
      <c r="T50" s="316"/>
      <c r="U50" s="316"/>
      <c r="V50" s="140"/>
      <c r="W50" s="140"/>
      <c r="X50" s="140"/>
      <c r="Y50" s="140"/>
      <c r="Z50" s="140"/>
      <c r="AA50" s="140"/>
      <c r="AB50" s="140"/>
      <c r="AC50" s="140"/>
      <c r="AD50" s="140"/>
      <c r="AE50" s="143"/>
      <c r="AF50" s="143"/>
      <c r="AG50" s="140"/>
      <c r="AH50" s="143"/>
      <c r="AI50" s="143"/>
      <c r="AJ50" s="143"/>
      <c r="AK50" s="143"/>
      <c r="AL50" s="143"/>
      <c r="AM50" s="143"/>
      <c r="AN50" s="143"/>
      <c r="AO50" s="143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94"/>
      <c r="BE50" s="140"/>
      <c r="BF50" s="249"/>
      <c r="BG50" s="316"/>
      <c r="BH50" s="324"/>
      <c r="BI50" s="316"/>
      <c r="BJ50" s="140"/>
      <c r="BK50" s="235"/>
      <c r="BL50" s="236"/>
      <c r="BM50" s="237"/>
      <c r="BN50" s="224"/>
      <c r="BS50" s="140"/>
      <c r="BT50" s="289"/>
      <c r="BY50" s="134"/>
    </row>
    <row r="51" spans="1:77" ht="15" customHeight="1">
      <c r="A51" s="134"/>
      <c r="H51" s="289"/>
      <c r="I51" s="140"/>
      <c r="N51" s="143"/>
      <c r="O51" s="143"/>
      <c r="P51" s="140"/>
      <c r="Q51" s="140"/>
      <c r="R51" s="143"/>
      <c r="S51" s="312"/>
      <c r="T51" s="314"/>
      <c r="U51" s="312"/>
      <c r="V51" s="140"/>
      <c r="W51" s="140"/>
      <c r="X51" s="140"/>
      <c r="Y51" s="140"/>
      <c r="Z51" s="140"/>
      <c r="AA51" s="140"/>
      <c r="AB51" s="140"/>
      <c r="AC51" s="140"/>
      <c r="AD51" s="140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93"/>
      <c r="BE51" s="140"/>
      <c r="BF51" s="140"/>
      <c r="BG51" s="312"/>
      <c r="BH51" s="322"/>
      <c r="BI51" s="312"/>
      <c r="BJ51" s="140"/>
      <c r="BK51" s="143"/>
      <c r="BL51" s="140"/>
      <c r="BM51" s="140"/>
      <c r="BN51" s="143"/>
      <c r="BS51" s="140"/>
      <c r="BT51" s="289"/>
      <c r="BY51" s="134"/>
    </row>
    <row r="52" spans="1:77" ht="15" customHeight="1">
      <c r="A52" s="134"/>
      <c r="H52" s="289"/>
      <c r="I52" s="140"/>
      <c r="N52" s="143"/>
      <c r="O52" s="143"/>
      <c r="P52" s="285"/>
      <c r="Q52" s="140"/>
      <c r="R52" s="143"/>
      <c r="S52" s="317"/>
      <c r="T52" s="329"/>
      <c r="U52" s="317"/>
      <c r="V52" s="140"/>
      <c r="W52" s="140"/>
      <c r="X52" s="140"/>
      <c r="Y52" s="140"/>
      <c r="Z52" s="140"/>
      <c r="AA52" s="140"/>
      <c r="AB52" s="140"/>
      <c r="AC52" s="140"/>
      <c r="AD52" s="140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93"/>
      <c r="BE52" s="140"/>
      <c r="BF52" s="140"/>
      <c r="BG52" s="317"/>
      <c r="BH52" s="323"/>
      <c r="BI52" s="317"/>
      <c r="BJ52" s="220"/>
      <c r="BK52" s="195"/>
      <c r="BL52" s="285"/>
      <c r="BM52" s="140"/>
      <c r="BN52" s="143"/>
      <c r="BS52" s="140"/>
      <c r="BT52" s="289"/>
      <c r="BY52" s="134"/>
    </row>
    <row r="53" spans="1:77" ht="9.9499999999999993" customHeight="1">
      <c r="A53" s="134"/>
      <c r="H53" s="289"/>
      <c r="I53" s="140"/>
      <c r="N53" s="143"/>
      <c r="O53" s="143"/>
      <c r="P53" s="286"/>
      <c r="Q53" s="140"/>
      <c r="R53" s="143"/>
      <c r="S53" s="291"/>
      <c r="T53" s="140"/>
      <c r="U53" s="291"/>
      <c r="V53" s="140"/>
      <c r="W53" s="140"/>
      <c r="X53" s="140"/>
      <c r="Y53" s="140"/>
      <c r="Z53" s="140"/>
      <c r="AA53" s="140"/>
      <c r="AB53" s="140"/>
      <c r="AC53" s="140"/>
      <c r="AD53" s="140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93"/>
      <c r="BE53" s="140"/>
      <c r="BF53" s="249"/>
      <c r="BG53" s="287"/>
      <c r="BH53" s="180"/>
      <c r="BI53" s="287"/>
      <c r="BJ53" s="180"/>
      <c r="BK53" s="140"/>
      <c r="BL53" s="286"/>
      <c r="BM53" s="140"/>
      <c r="BN53" s="143"/>
      <c r="BS53" s="140"/>
      <c r="BT53" s="289"/>
      <c r="BY53" s="134"/>
    </row>
    <row r="54" spans="1:77" ht="9.75" customHeight="1">
      <c r="A54" s="134"/>
      <c r="H54" s="289"/>
      <c r="I54" s="140"/>
      <c r="N54" s="143"/>
      <c r="O54" s="143"/>
      <c r="P54" s="140"/>
      <c r="Q54" s="140"/>
      <c r="R54" s="143"/>
      <c r="S54" s="291"/>
      <c r="T54" s="143"/>
      <c r="U54" s="291"/>
      <c r="V54" s="140"/>
      <c r="W54" s="140"/>
      <c r="X54" s="140"/>
      <c r="Y54" s="140"/>
      <c r="Z54" s="140"/>
      <c r="AA54" s="140"/>
      <c r="AB54" s="140"/>
      <c r="AC54" s="140"/>
      <c r="AD54" s="140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94"/>
      <c r="BE54" s="140"/>
      <c r="BF54" s="140"/>
      <c r="BG54" s="143"/>
      <c r="BH54" s="223"/>
      <c r="BI54" s="143"/>
      <c r="BJ54" s="223"/>
      <c r="BK54" s="143"/>
      <c r="BL54" s="140"/>
      <c r="BM54" s="140"/>
      <c r="BN54" s="143"/>
      <c r="BS54" s="140"/>
      <c r="BT54" s="289"/>
      <c r="BY54" s="134"/>
    </row>
    <row r="55" spans="1:77" ht="15" customHeight="1">
      <c r="A55" s="134"/>
      <c r="H55" s="289"/>
      <c r="I55" s="140"/>
      <c r="J55" s="283"/>
      <c r="K55" s="145"/>
      <c r="L55" s="143"/>
      <c r="M55" s="146"/>
      <c r="N55" s="140"/>
      <c r="O55" s="140"/>
      <c r="P55" s="140"/>
      <c r="Q55" s="140"/>
      <c r="R55" s="140"/>
      <c r="S55" s="143"/>
      <c r="T55" s="140"/>
      <c r="U55" s="143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93"/>
      <c r="BE55" s="140"/>
      <c r="BF55" s="249"/>
      <c r="BG55" s="142"/>
      <c r="BH55" s="220"/>
      <c r="BI55" s="142"/>
      <c r="BJ55" s="220"/>
      <c r="BK55" s="195"/>
      <c r="BL55" s="285"/>
      <c r="BM55" s="140"/>
      <c r="BN55" s="143"/>
      <c r="BO55" s="283"/>
      <c r="BP55" s="145"/>
      <c r="BQ55" s="140"/>
      <c r="BR55" s="146"/>
      <c r="BS55" s="140"/>
      <c r="BT55" s="289"/>
      <c r="BY55" s="134"/>
    </row>
    <row r="56" spans="1:77" ht="15" customHeight="1">
      <c r="A56" s="134"/>
      <c r="H56" s="289"/>
      <c r="I56" s="140"/>
      <c r="J56" s="145"/>
      <c r="K56" s="145"/>
      <c r="L56" s="143"/>
      <c r="M56" s="146"/>
      <c r="N56" s="140"/>
      <c r="O56" s="140"/>
      <c r="P56" s="140"/>
      <c r="Q56" s="140"/>
      <c r="R56" s="140"/>
      <c r="S56" s="143"/>
      <c r="T56" s="140"/>
      <c r="U56" s="143"/>
      <c r="V56" s="140"/>
      <c r="AG56" s="193"/>
      <c r="AH56" s="194"/>
      <c r="AI56" s="193"/>
      <c r="AJ56" s="194"/>
      <c r="AK56" s="193"/>
      <c r="AL56" s="194"/>
      <c r="AM56" s="193"/>
      <c r="AO56" s="193"/>
      <c r="AP56" s="140"/>
      <c r="AQ56" s="140"/>
      <c r="AR56" s="140"/>
      <c r="BB56" s="140"/>
      <c r="BC56" s="140"/>
      <c r="BD56" s="140"/>
      <c r="BE56" s="140"/>
      <c r="BF56" s="140"/>
      <c r="BG56" s="287"/>
      <c r="BH56" s="180"/>
      <c r="BI56" s="287"/>
      <c r="BJ56" s="223"/>
      <c r="BK56" s="143"/>
      <c r="BL56" s="286"/>
      <c r="BM56" s="140"/>
      <c r="BN56" s="143"/>
      <c r="BO56" s="145"/>
      <c r="BP56" s="145"/>
      <c r="BQ56" s="224"/>
      <c r="BR56" s="146"/>
      <c r="BS56" s="140"/>
      <c r="BT56" s="289"/>
      <c r="BY56" s="134"/>
    </row>
    <row r="57" spans="1:77" ht="9.75" customHeight="1">
      <c r="A57" s="134"/>
      <c r="H57" s="289"/>
      <c r="I57" s="140"/>
      <c r="N57" s="143"/>
      <c r="O57" s="143"/>
      <c r="P57" s="140"/>
      <c r="Q57" s="140"/>
      <c r="R57" s="143"/>
      <c r="S57" s="143"/>
      <c r="T57" s="143"/>
      <c r="U57" s="143"/>
      <c r="V57" s="140"/>
      <c r="W57" s="140"/>
      <c r="X57" s="140"/>
      <c r="Y57" s="140"/>
      <c r="Z57" s="140"/>
      <c r="AA57" s="140"/>
      <c r="AB57" s="140"/>
      <c r="AC57" s="140"/>
      <c r="AD57" s="140"/>
      <c r="AG57" s="140"/>
      <c r="AH57" s="140"/>
      <c r="AI57" s="140"/>
      <c r="AJ57" s="140"/>
      <c r="AK57" s="140"/>
      <c r="AL57" s="140"/>
      <c r="AM57" s="140"/>
      <c r="AO57" s="140"/>
      <c r="AP57" s="140"/>
      <c r="AQ57" s="140"/>
      <c r="AR57" s="140"/>
      <c r="AS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3"/>
      <c r="BH57" s="223"/>
      <c r="BI57" s="143"/>
      <c r="BJ57" s="223"/>
      <c r="BK57" s="143"/>
      <c r="BL57" s="140"/>
      <c r="BM57" s="140"/>
      <c r="BN57" s="143"/>
      <c r="BS57" s="140"/>
      <c r="BT57" s="289"/>
      <c r="BY57" s="134"/>
    </row>
    <row r="58" spans="1:77" ht="15" customHeight="1">
      <c r="A58" s="134"/>
      <c r="H58" s="289"/>
      <c r="I58" s="140"/>
      <c r="J58" s="288"/>
      <c r="K58" s="288"/>
      <c r="L58" s="288"/>
      <c r="M58" s="142"/>
      <c r="N58" s="140"/>
      <c r="O58" s="140"/>
      <c r="P58" s="140"/>
      <c r="Q58" s="140"/>
      <c r="R58" s="140"/>
      <c r="S58" s="142"/>
      <c r="T58" s="140"/>
      <c r="U58" s="140"/>
      <c r="V58" s="140"/>
      <c r="W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O58" s="140"/>
      <c r="AP58" s="140"/>
      <c r="AQ58" s="140"/>
      <c r="AR58" s="140"/>
      <c r="AS58" s="140"/>
      <c r="AV58" s="140"/>
      <c r="AW58" s="140"/>
      <c r="AX58" s="140"/>
      <c r="BC58" s="140"/>
      <c r="BD58" s="176"/>
      <c r="BE58" s="140"/>
      <c r="BF58" s="140"/>
      <c r="BG58" s="140"/>
      <c r="BH58" s="220"/>
      <c r="BI58" s="142"/>
      <c r="BJ58" s="220"/>
      <c r="BK58" s="142"/>
      <c r="BL58" s="285"/>
      <c r="BM58" s="140"/>
      <c r="BN58" s="143"/>
      <c r="BO58" s="288"/>
      <c r="BP58" s="288"/>
      <c r="BQ58" s="288"/>
      <c r="BR58" s="142"/>
      <c r="BS58" s="140"/>
      <c r="BT58" s="289"/>
      <c r="BY58" s="134"/>
    </row>
    <row r="59" spans="1:77" ht="15" customHeight="1">
      <c r="A59" s="134"/>
      <c r="H59" s="289"/>
      <c r="I59" s="140"/>
      <c r="J59" s="288"/>
      <c r="K59" s="288"/>
      <c r="L59" s="288"/>
      <c r="M59" s="142"/>
      <c r="N59" s="140"/>
      <c r="O59" s="143"/>
      <c r="P59" s="140"/>
      <c r="Q59" s="140"/>
      <c r="R59" s="140"/>
      <c r="S59" s="287"/>
      <c r="T59" s="212"/>
      <c r="U59" s="140"/>
      <c r="V59" s="140"/>
      <c r="W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O59" s="140"/>
      <c r="AP59" s="140"/>
      <c r="AQ59" s="140"/>
      <c r="AR59" s="140"/>
      <c r="AS59" s="140"/>
      <c r="AV59" s="140"/>
      <c r="AW59" s="140"/>
      <c r="AX59" s="140"/>
      <c r="BC59" s="140"/>
      <c r="BD59" s="180"/>
      <c r="BE59" s="140"/>
      <c r="BF59" s="140"/>
      <c r="BG59" s="140"/>
      <c r="BH59" s="180"/>
      <c r="BI59" s="287"/>
      <c r="BJ59" s="223"/>
      <c r="BK59" s="143"/>
      <c r="BL59" s="286"/>
      <c r="BM59" s="140"/>
      <c r="BN59" s="143"/>
      <c r="BO59" s="288"/>
      <c r="BP59" s="288"/>
      <c r="BQ59" s="288"/>
      <c r="BR59" s="142"/>
      <c r="BS59" s="140"/>
      <c r="BT59" s="289"/>
      <c r="BY59" s="134"/>
    </row>
    <row r="60" spans="1:77" ht="9.75" customHeight="1">
      <c r="A60" s="134"/>
      <c r="H60" s="289"/>
      <c r="I60" s="140"/>
      <c r="J60" s="143"/>
      <c r="K60" s="143"/>
      <c r="L60" s="143"/>
      <c r="M60" s="140"/>
      <c r="N60" s="143"/>
      <c r="O60" s="143"/>
      <c r="P60" s="140"/>
      <c r="Q60" s="140"/>
      <c r="R60" s="143"/>
      <c r="S60" s="180"/>
      <c r="T60" s="212"/>
      <c r="U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O60" s="140"/>
      <c r="AP60" s="140"/>
      <c r="AQ60" s="140"/>
      <c r="AR60" s="140"/>
      <c r="AS60" s="140"/>
      <c r="AV60" s="140"/>
      <c r="AW60" s="140"/>
      <c r="AX60" s="140"/>
      <c r="BC60" s="140"/>
      <c r="BG60" s="140"/>
      <c r="BJ60" s="223"/>
      <c r="BK60" s="143"/>
      <c r="BL60" s="140"/>
      <c r="BM60" s="140"/>
      <c r="BN60" s="143"/>
      <c r="BO60" s="140"/>
      <c r="BP60" s="140"/>
      <c r="BQ60" s="140"/>
      <c r="BR60" s="140"/>
      <c r="BS60" s="140"/>
      <c r="BT60" s="289"/>
      <c r="BY60" s="134"/>
    </row>
    <row r="61" spans="1:77" ht="15" customHeight="1">
      <c r="A61" s="134"/>
      <c r="H61" s="289"/>
      <c r="I61" s="140"/>
      <c r="J61" s="140"/>
      <c r="K61" s="140"/>
      <c r="L61" s="140"/>
      <c r="M61" s="144"/>
      <c r="N61" s="140"/>
      <c r="O61" s="201"/>
      <c r="P61" s="142"/>
      <c r="Q61" s="140"/>
      <c r="R61" s="201"/>
      <c r="U61" s="312"/>
      <c r="V61" s="313"/>
      <c r="W61" s="312"/>
      <c r="X61" s="314"/>
      <c r="Y61" s="312"/>
      <c r="Z61" s="312"/>
      <c r="AA61" s="312"/>
      <c r="AB61" s="312"/>
      <c r="AC61" s="312"/>
      <c r="AD61" s="312"/>
      <c r="AE61" s="312"/>
      <c r="AF61" s="313"/>
      <c r="AG61" s="408"/>
      <c r="AH61" s="408"/>
      <c r="AI61" s="316"/>
      <c r="AJ61" s="312"/>
      <c r="AK61" s="312"/>
      <c r="AM61" s="176"/>
      <c r="AN61" s="176"/>
      <c r="AO61" s="140"/>
      <c r="AQ61" s="312"/>
      <c r="AR61" s="313"/>
      <c r="AS61" s="312"/>
      <c r="AT61" s="313"/>
      <c r="AU61" s="312"/>
      <c r="AV61" s="312"/>
      <c r="AW61" s="312"/>
      <c r="AX61" s="312"/>
      <c r="AY61" s="312"/>
      <c r="AZ61" s="312"/>
      <c r="BA61" s="312"/>
      <c r="BB61" s="313"/>
      <c r="BC61" s="315"/>
      <c r="BD61" s="315"/>
      <c r="BE61" s="316"/>
      <c r="BF61" s="313"/>
      <c r="BG61" s="312"/>
      <c r="BJ61" s="220"/>
      <c r="BK61" s="220"/>
      <c r="BL61" s="142"/>
      <c r="BM61" s="140"/>
      <c r="BN61" s="143"/>
      <c r="BO61" s="144"/>
      <c r="BP61" s="140"/>
      <c r="BQ61" s="140"/>
      <c r="BR61" s="140"/>
      <c r="BS61" s="140"/>
      <c r="BT61" s="289"/>
      <c r="BY61" s="134"/>
    </row>
    <row r="62" spans="1:77" ht="15" customHeight="1">
      <c r="A62" s="134"/>
      <c r="H62" s="289"/>
      <c r="I62" s="140"/>
      <c r="J62" s="143"/>
      <c r="K62" s="143"/>
      <c r="L62" s="143"/>
      <c r="M62" s="147"/>
      <c r="N62" s="143"/>
      <c r="O62" s="201"/>
      <c r="P62" s="286"/>
      <c r="Q62" s="140"/>
      <c r="R62" s="180"/>
      <c r="U62" s="193">
        <v>1</v>
      </c>
      <c r="V62" s="194"/>
      <c r="W62" s="193">
        <v>2</v>
      </c>
      <c r="X62" s="194"/>
      <c r="Y62" s="193">
        <v>3</v>
      </c>
      <c r="Z62" s="194"/>
      <c r="AA62" s="193">
        <v>4</v>
      </c>
      <c r="AC62" s="193" t="s">
        <v>84</v>
      </c>
      <c r="AD62" s="318"/>
      <c r="AE62" s="317"/>
      <c r="AF62" s="313"/>
      <c r="AG62" s="408"/>
      <c r="AH62" s="408"/>
      <c r="AI62" s="316"/>
      <c r="AJ62" s="318"/>
      <c r="AK62" s="317"/>
      <c r="AM62" s="180"/>
      <c r="AN62" s="180"/>
      <c r="AO62" s="140"/>
      <c r="AQ62" s="317"/>
      <c r="AR62" s="313"/>
      <c r="AS62" s="317"/>
      <c r="AT62" s="313"/>
      <c r="AU62" s="193">
        <v>5</v>
      </c>
      <c r="AV62" s="194"/>
      <c r="AW62" s="193">
        <v>6</v>
      </c>
      <c r="AX62" s="194"/>
      <c r="AY62" s="193">
        <v>7</v>
      </c>
      <c r="AZ62" s="194"/>
      <c r="BA62" s="193">
        <v>8</v>
      </c>
      <c r="BC62" s="193" t="s">
        <v>97</v>
      </c>
      <c r="BD62" s="315"/>
      <c r="BE62" s="316"/>
      <c r="BF62" s="313"/>
      <c r="BG62" s="317"/>
      <c r="BJ62" s="223"/>
      <c r="BK62" s="201"/>
      <c r="BL62" s="286"/>
      <c r="BM62" s="140"/>
      <c r="BN62" s="143"/>
      <c r="BO62" s="147"/>
      <c r="BP62" s="143"/>
      <c r="BQ62" s="143"/>
      <c r="BR62" s="140"/>
      <c r="BS62" s="140"/>
      <c r="BT62" s="289"/>
      <c r="BY62" s="134"/>
    </row>
    <row r="63" spans="1:77" ht="9.9499999999999993" customHeight="1">
      <c r="A63" s="134"/>
      <c r="H63" s="289"/>
      <c r="I63" s="140"/>
      <c r="J63" s="143"/>
      <c r="K63" s="143"/>
      <c r="L63" s="143"/>
      <c r="M63" s="143"/>
      <c r="N63" s="143"/>
      <c r="O63" s="201"/>
      <c r="P63" s="140"/>
      <c r="Q63" s="140"/>
      <c r="R63" s="180"/>
      <c r="U63" s="319"/>
      <c r="V63" s="313"/>
      <c r="W63" s="316"/>
      <c r="X63" s="314"/>
      <c r="Y63" s="316"/>
      <c r="Z63" s="316"/>
      <c r="AA63" s="316"/>
      <c r="AB63" s="316"/>
      <c r="AC63" s="316"/>
      <c r="AD63" s="316"/>
      <c r="AE63" s="316"/>
      <c r="AF63" s="313"/>
      <c r="AG63" s="320"/>
      <c r="AH63" s="320"/>
      <c r="AI63" s="314"/>
      <c r="AJ63" s="316"/>
      <c r="AK63" s="319"/>
      <c r="AM63" s="176"/>
      <c r="AN63" s="176"/>
      <c r="AO63" s="140"/>
      <c r="AQ63" s="319"/>
      <c r="AR63" s="313"/>
      <c r="AS63" s="316"/>
      <c r="AT63" s="313"/>
      <c r="AU63" s="316"/>
      <c r="AV63" s="316"/>
      <c r="AW63" s="316"/>
      <c r="AX63" s="316"/>
      <c r="AY63" s="316"/>
      <c r="AZ63" s="316"/>
      <c r="BA63" s="316"/>
      <c r="BB63" s="313"/>
      <c r="BC63" s="320"/>
      <c r="BD63" s="320"/>
      <c r="BE63" s="314"/>
      <c r="BF63" s="313"/>
      <c r="BG63" s="319"/>
      <c r="BJ63" s="223"/>
      <c r="BK63" s="201"/>
      <c r="BL63" s="140"/>
      <c r="BM63" s="140"/>
      <c r="BN63" s="143"/>
      <c r="BO63" s="140"/>
      <c r="BP63" s="140"/>
      <c r="BQ63" s="140"/>
      <c r="BR63" s="140"/>
      <c r="BS63" s="140"/>
      <c r="BT63" s="289"/>
      <c r="BY63" s="134"/>
    </row>
    <row r="64" spans="1:77" ht="15" customHeight="1">
      <c r="A64" s="134"/>
      <c r="H64" s="289"/>
      <c r="I64" s="140"/>
      <c r="J64" s="140"/>
      <c r="K64" s="140"/>
      <c r="L64" s="140"/>
      <c r="N64" s="201"/>
      <c r="U64" s="312"/>
      <c r="V64" s="313"/>
      <c r="W64" s="312"/>
      <c r="X64" s="314"/>
      <c r="Y64" s="312"/>
      <c r="Z64" s="312"/>
      <c r="AA64" s="312"/>
      <c r="AB64" s="312"/>
      <c r="AC64" s="312"/>
      <c r="AD64" s="312"/>
      <c r="AE64" s="312"/>
      <c r="AF64" s="313"/>
      <c r="AG64" s="408"/>
      <c r="AH64" s="408"/>
      <c r="AI64" s="316"/>
      <c r="AJ64" s="312"/>
      <c r="AK64" s="312"/>
      <c r="AM64" s="176"/>
      <c r="AN64" s="176"/>
      <c r="AO64" s="140"/>
      <c r="AQ64" s="312"/>
      <c r="AR64" s="313"/>
      <c r="AS64" s="312"/>
      <c r="AT64" s="313"/>
      <c r="AU64" s="312"/>
      <c r="AV64" s="312"/>
      <c r="AW64" s="312"/>
      <c r="AX64" s="312"/>
      <c r="AY64" s="312"/>
      <c r="AZ64" s="312"/>
      <c r="BA64" s="312"/>
      <c r="BB64" s="313"/>
      <c r="BC64" s="408"/>
      <c r="BD64" s="408"/>
      <c r="BE64" s="316"/>
      <c r="BF64" s="313"/>
      <c r="BG64" s="312"/>
      <c r="BJ64" s="220"/>
      <c r="BN64" s="140"/>
      <c r="BP64" s="143"/>
      <c r="BQ64" s="143"/>
      <c r="BR64" s="140"/>
      <c r="BS64" s="140"/>
      <c r="BT64" s="289"/>
      <c r="BY64" s="134"/>
    </row>
    <row r="65" spans="1:77" ht="15" customHeight="1">
      <c r="A65" s="134"/>
      <c r="H65" s="289"/>
      <c r="I65" s="140"/>
      <c r="J65" s="176"/>
      <c r="K65" s="176"/>
      <c r="L65" s="176"/>
      <c r="N65" s="201"/>
      <c r="U65" s="317"/>
      <c r="V65" s="313"/>
      <c r="W65" s="317"/>
      <c r="X65" s="314"/>
      <c r="Y65" s="317"/>
      <c r="Z65" s="318"/>
      <c r="AA65" s="317"/>
      <c r="AB65" s="318"/>
      <c r="AC65" s="317"/>
      <c r="AD65" s="318"/>
      <c r="AE65" s="317"/>
      <c r="AF65" s="313"/>
      <c r="AG65" s="408"/>
      <c r="AH65" s="408"/>
      <c r="AI65" s="316"/>
      <c r="AJ65" s="318"/>
      <c r="AK65" s="317"/>
      <c r="AM65" s="180"/>
      <c r="AN65" s="180"/>
      <c r="AO65" s="140"/>
      <c r="AQ65" s="317"/>
      <c r="AR65" s="313"/>
      <c r="AS65" s="317"/>
      <c r="AT65" s="313"/>
      <c r="AU65" s="317"/>
      <c r="AV65" s="318"/>
      <c r="AW65" s="317"/>
      <c r="AX65" s="318"/>
      <c r="AY65" s="317"/>
      <c r="AZ65" s="318"/>
      <c r="BA65" s="317"/>
      <c r="BB65" s="313"/>
      <c r="BC65" s="408"/>
      <c r="BD65" s="408"/>
      <c r="BE65" s="316"/>
      <c r="BF65" s="313"/>
      <c r="BG65" s="317"/>
      <c r="BJ65" s="180"/>
      <c r="BN65" s="201"/>
      <c r="BP65" s="143"/>
      <c r="BQ65" s="143"/>
      <c r="BR65" s="140"/>
      <c r="BS65" s="140"/>
      <c r="BT65" s="289"/>
      <c r="BY65" s="134"/>
    </row>
    <row r="66" spans="1:77" ht="9.9499999999999993" customHeight="1" thickBot="1">
      <c r="A66" s="134"/>
      <c r="H66" s="140"/>
      <c r="I66" s="140"/>
      <c r="J66" s="140"/>
      <c r="K66" s="140"/>
      <c r="L66" s="140"/>
      <c r="M66" s="140"/>
      <c r="N66" s="140"/>
      <c r="O66" s="140"/>
      <c r="P66" s="143"/>
      <c r="Q66" s="143"/>
      <c r="R66" s="143"/>
      <c r="S66" s="143"/>
      <c r="T66" s="143"/>
      <c r="U66" s="143"/>
      <c r="V66" s="140"/>
      <c r="W66" s="140"/>
      <c r="X66" s="140"/>
      <c r="Y66" s="140"/>
      <c r="Z66" s="140"/>
      <c r="AA66" s="140"/>
      <c r="AD66" s="140"/>
      <c r="AE66" s="176"/>
      <c r="AF66" s="176"/>
      <c r="AG66" s="143"/>
      <c r="AH66" s="143"/>
      <c r="AI66" s="143"/>
      <c r="AJ66" s="143"/>
      <c r="AK66" s="143"/>
      <c r="AL66" s="143"/>
      <c r="AM66" s="143"/>
      <c r="AO66" s="143"/>
      <c r="AP66" s="143"/>
      <c r="AQ66" s="143"/>
      <c r="AR66" s="143"/>
      <c r="AS66" s="143"/>
      <c r="AV66" s="140"/>
      <c r="AW66" s="176"/>
      <c r="AX66" s="176"/>
      <c r="BC66" s="140"/>
      <c r="BD66" s="140"/>
      <c r="BE66" s="140"/>
      <c r="BF66" s="140"/>
      <c r="BG66" s="143"/>
      <c r="BH66" s="143"/>
      <c r="BI66" s="143"/>
      <c r="BJ66" s="143"/>
      <c r="BK66" s="143"/>
      <c r="BL66" s="143"/>
      <c r="BM66" s="143"/>
      <c r="BN66" s="143"/>
      <c r="BR66" s="140"/>
      <c r="BS66" s="140"/>
      <c r="BT66" s="140"/>
      <c r="BY66" s="134"/>
    </row>
    <row r="67" spans="1:77" ht="9.9499999999999993" customHeight="1">
      <c r="A67" s="134"/>
      <c r="H67" s="140"/>
      <c r="I67" s="140"/>
      <c r="J67" s="140"/>
      <c r="K67" s="140"/>
      <c r="L67" s="140"/>
      <c r="M67" s="140"/>
      <c r="N67" s="140"/>
      <c r="R67" s="238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40"/>
      <c r="AR67" s="151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3"/>
      <c r="BK67" s="143"/>
      <c r="BL67" s="143"/>
      <c r="BM67" s="143"/>
      <c r="BN67" s="143"/>
      <c r="BR67" s="140"/>
      <c r="BS67" s="140"/>
      <c r="BT67" s="140"/>
      <c r="BY67" s="134"/>
    </row>
    <row r="68" spans="1:77" ht="15" customHeight="1">
      <c r="A68" s="134"/>
      <c r="H68" s="140"/>
      <c r="I68" s="140"/>
      <c r="J68" s="143"/>
      <c r="K68" s="143"/>
      <c r="L68" s="143"/>
      <c r="M68" s="140"/>
      <c r="N68" s="140"/>
      <c r="R68" s="241"/>
      <c r="S68" s="155">
        <f ca="1">'Raw data &amp; Hourly Summary'!BV131</f>
        <v>2787</v>
      </c>
      <c r="T68" s="243"/>
      <c r="U68" s="296">
        <f ca="1">'Raw data &amp; Hourly Summary'!BV128</f>
        <v>67</v>
      </c>
      <c r="V68" s="297"/>
      <c r="W68" s="296">
        <f ca="1">'Raw data &amp; Hourly Summary'!BW128</f>
        <v>1034</v>
      </c>
      <c r="X68" s="242"/>
      <c r="Y68" s="296">
        <f ca="1">'Raw data &amp; Hourly Summary'!BX128</f>
        <v>1211</v>
      </c>
      <c r="Z68" s="242"/>
      <c r="AA68" s="296">
        <f ca="1">'Raw data &amp; Hourly Summary'!BY128</f>
        <v>436</v>
      </c>
      <c r="AB68" s="242"/>
      <c r="AC68" s="296">
        <f ca="1">'Raw data &amp; Hourly Summary'!BZ128</f>
        <v>39</v>
      </c>
      <c r="AD68" s="242"/>
      <c r="AE68" s="244" t="s">
        <v>40</v>
      </c>
      <c r="AF68" s="242"/>
      <c r="AG68" s="242"/>
      <c r="AH68" s="242"/>
      <c r="AI68" s="155">
        <f ca="1">'Raw data &amp; Hourly Summary'!BW131</f>
        <v>3880</v>
      </c>
      <c r="AJ68" s="245"/>
      <c r="AR68" s="159"/>
      <c r="AS68" s="160">
        <f ca="1">'Raw data &amp; Hourly Summary'!BX131</f>
        <v>1307</v>
      </c>
      <c r="AT68" s="161"/>
      <c r="AU68" s="162">
        <f ca="1">'Raw data &amp; Hourly Summary'!CA128</f>
        <v>344</v>
      </c>
      <c r="AV68" s="161"/>
      <c r="AW68" s="162">
        <f ca="1">'Raw data &amp; Hourly Summary'!CB128</f>
        <v>144</v>
      </c>
      <c r="AX68" s="163"/>
      <c r="AY68" s="162">
        <f ca="1">'Raw data &amp; Hourly Summary'!CC128</f>
        <v>619</v>
      </c>
      <c r="AZ68" s="163"/>
      <c r="BA68" s="162">
        <f ca="1">'Raw data &amp; Hourly Summary'!CD128</f>
        <v>182</v>
      </c>
      <c r="BB68" s="163"/>
      <c r="BC68" s="162">
        <f ca="1">'Raw data &amp; Hourly Summary'!CE128</f>
        <v>18</v>
      </c>
      <c r="BD68" s="163"/>
      <c r="BE68" s="163"/>
      <c r="BF68" s="163"/>
      <c r="BG68" s="163"/>
      <c r="BH68" s="163"/>
      <c r="BI68" s="160">
        <f ca="1">'Raw data &amp; Hourly Summary'!BY131</f>
        <v>1776</v>
      </c>
      <c r="BJ68" s="164"/>
      <c r="BK68" s="140"/>
      <c r="BL68" s="140"/>
      <c r="BM68" s="140"/>
      <c r="BN68" s="140"/>
      <c r="BR68" s="140"/>
      <c r="BS68" s="140"/>
      <c r="BT68" s="140"/>
      <c r="BY68" s="134"/>
    </row>
    <row r="69" spans="1:77" ht="15" customHeight="1">
      <c r="A69" s="134"/>
      <c r="H69" s="140"/>
      <c r="I69" s="140"/>
      <c r="J69" s="140"/>
      <c r="K69" s="140"/>
      <c r="L69" s="140"/>
      <c r="M69" s="140"/>
      <c r="N69" s="140"/>
      <c r="R69" s="241"/>
      <c r="S69" s="165">
        <f ca="1">IF(S68=0,0,S68/IF(COUNTA('Raw data &amp; Hourly Summary'!$BQ$139:$BQ$152)&gt;='Raw data &amp; Hourly Summary'!$BQ$128,'Raw data &amp; Hourly Summary'!BV134,'Raw data &amp; Hourly Summary'!BV135))</f>
        <v>1</v>
      </c>
      <c r="T69" s="243"/>
      <c r="U69" s="298">
        <f ca="1">IF(U68=0,0,U68/$S$68)</f>
        <v>2.4040186580552566E-2</v>
      </c>
      <c r="V69" s="299"/>
      <c r="W69" s="298">
        <f ca="1">IF(W68=0,0,W68/$S$68)</f>
        <v>0.3710082526013635</v>
      </c>
      <c r="X69" s="243"/>
      <c r="Y69" s="298">
        <f ca="1">IF(Y68=0,0,Y68/$S$68)</f>
        <v>0.43451740222461427</v>
      </c>
      <c r="Z69" s="243"/>
      <c r="AA69" s="298">
        <f ca="1">IF(AA68=0,0,AA68/$S$68)</f>
        <v>0.15644061715105848</v>
      </c>
      <c r="AB69" s="243"/>
      <c r="AC69" s="298">
        <f ca="1">IF(AC68=0,0,AC68/$S$68)</f>
        <v>1.3993541442411194E-2</v>
      </c>
      <c r="AD69" s="243"/>
      <c r="AE69" s="244" t="s">
        <v>41</v>
      </c>
      <c r="AF69" s="243"/>
      <c r="AG69" s="243"/>
      <c r="AH69" s="243"/>
      <c r="AI69" s="166">
        <f ca="1">IF(AI68=0,0,AI68/IF(COUNTA('Raw data &amp; Hourly Summary'!$BQ$139:$BQ$152)&gt;='Raw data &amp; Hourly Summary'!$BQ$128,'Raw data &amp; Hourly Summary'!BW134,'Raw data &amp; Hourly Summary'!BW135))</f>
        <v>1</v>
      </c>
      <c r="AJ69" s="245"/>
      <c r="AR69" s="159"/>
      <c r="AS69" s="167">
        <f ca="1">IF(AS68=0,0,AS68/IF(COUNTA('Raw data &amp; Hourly Summary'!$BQ$139:$BQ$152)&gt;='Raw data &amp; Hourly Summary'!$BQ$128,'Raw data &amp; Hourly Summary'!BX134,'Raw data &amp; Hourly Summary'!BX135))</f>
        <v>1</v>
      </c>
      <c r="AT69" s="161"/>
      <c r="AU69" s="168">
        <f ca="1">IF(AU68=0,0,AU68/$AS$68)</f>
        <v>0.26319816373374139</v>
      </c>
      <c r="AV69" s="161"/>
      <c r="AW69" s="168">
        <f ca="1">IF(AW68=0,0,AW68/$AS$68)</f>
        <v>0.11017597551644988</v>
      </c>
      <c r="AX69" s="161"/>
      <c r="AY69" s="168">
        <f ca="1">IF(AY68=0,0,AY68/$AS$68)</f>
        <v>0.47360367253251723</v>
      </c>
      <c r="AZ69" s="161"/>
      <c r="BA69" s="168">
        <f ca="1">IF(BA68=0,0,BA68/$AS$68)</f>
        <v>0.13925019127773527</v>
      </c>
      <c r="BB69" s="161"/>
      <c r="BC69" s="168">
        <f ca="1">IF(BC68=0,0,BC68/$AS$68)</f>
        <v>1.3771996939556235E-2</v>
      </c>
      <c r="BD69" s="161"/>
      <c r="BE69" s="161"/>
      <c r="BF69" s="161"/>
      <c r="BG69" s="161"/>
      <c r="BH69" s="161"/>
      <c r="BI69" s="169">
        <f ca="1">IF(BI68=0,0,BI68/IF(COUNTA('Raw data &amp; Hourly Summary'!$BQ$139:$BQ$152)&gt;='Raw data &amp; Hourly Summary'!$BQ$128,'Raw data &amp; Hourly Summary'!BY134,'Raw data &amp; Hourly Summary'!BY135))</f>
        <v>1</v>
      </c>
      <c r="BJ69" s="164"/>
      <c r="BK69" s="140"/>
      <c r="BL69" s="140"/>
      <c r="BM69" s="140"/>
      <c r="BN69" s="140"/>
      <c r="BR69" s="140"/>
      <c r="BS69" s="140"/>
      <c r="BT69" s="140"/>
      <c r="BY69" s="134"/>
    </row>
    <row r="70" spans="1:77" ht="9.9499999999999993" customHeight="1" thickBot="1">
      <c r="A70" s="134"/>
      <c r="H70" s="140"/>
      <c r="I70" s="140"/>
      <c r="J70" s="140"/>
      <c r="K70" s="140"/>
      <c r="L70" s="140"/>
      <c r="M70" s="140"/>
      <c r="N70" s="140"/>
      <c r="R70" s="246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8"/>
      <c r="AR70" s="173"/>
      <c r="AS70" s="174"/>
      <c r="AT70" s="174"/>
      <c r="AU70" s="174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4"/>
      <c r="BJ70" s="175"/>
      <c r="BK70" s="140"/>
      <c r="BL70" s="140"/>
      <c r="BM70" s="140"/>
      <c r="BN70" s="140"/>
      <c r="BR70" s="140"/>
      <c r="BS70" s="140"/>
      <c r="BT70" s="140"/>
      <c r="BY70" s="134"/>
    </row>
    <row r="71" spans="1:77" ht="15" customHeight="1">
      <c r="A71" s="134"/>
      <c r="H71" s="140"/>
      <c r="I71" s="140"/>
      <c r="J71" s="140"/>
      <c r="K71" s="140"/>
      <c r="L71" s="140"/>
      <c r="M71" s="140"/>
      <c r="N71" s="140"/>
      <c r="S71" s="144" t="s">
        <v>8</v>
      </c>
      <c r="U71" s="145"/>
      <c r="V71" s="140"/>
      <c r="W71" s="141"/>
      <c r="X71" s="140"/>
      <c r="Y71" s="142"/>
      <c r="Z71" s="142"/>
      <c r="AA71" s="142"/>
      <c r="AC71" s="146"/>
      <c r="AD71" s="140"/>
      <c r="AE71" s="140"/>
      <c r="AG71" s="140"/>
      <c r="AI71" s="144" t="s">
        <v>8</v>
      </c>
      <c r="AS71" s="144" t="s">
        <v>8</v>
      </c>
      <c r="AU71" s="145"/>
      <c r="AV71" s="140"/>
      <c r="AW71" s="141"/>
      <c r="AX71" s="140"/>
      <c r="AY71" s="142"/>
      <c r="AZ71" s="142"/>
      <c r="BA71" s="142"/>
      <c r="BC71" s="146"/>
      <c r="BD71" s="140"/>
      <c r="BE71" s="140"/>
      <c r="BG71" s="140"/>
      <c r="BI71" s="144" t="s">
        <v>8</v>
      </c>
      <c r="BJ71" s="140"/>
      <c r="BK71" s="140"/>
      <c r="BL71" s="140"/>
      <c r="BM71" s="140"/>
      <c r="BN71" s="140"/>
      <c r="BR71" s="140"/>
      <c r="BS71" s="140"/>
      <c r="BT71" s="140"/>
      <c r="BY71" s="134"/>
    </row>
    <row r="72" spans="1:77" ht="15" customHeight="1">
      <c r="A72" s="134"/>
      <c r="H72" s="140"/>
      <c r="I72" s="140"/>
      <c r="J72" s="140"/>
      <c r="K72" s="140"/>
      <c r="L72" s="140"/>
      <c r="M72" s="140"/>
      <c r="N72" s="140"/>
      <c r="S72" s="147" t="s">
        <v>69</v>
      </c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G72" s="140"/>
      <c r="AI72" s="147" t="s">
        <v>70</v>
      </c>
      <c r="AM72" s="140"/>
      <c r="AN72" s="140"/>
      <c r="AO72" s="140"/>
      <c r="AS72" s="147" t="s">
        <v>69</v>
      </c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G72" s="140"/>
      <c r="BI72" s="147" t="s">
        <v>70</v>
      </c>
      <c r="BJ72" s="140"/>
      <c r="BK72" s="140"/>
      <c r="BL72" s="140"/>
      <c r="BM72" s="140"/>
      <c r="BN72" s="140"/>
      <c r="BR72" s="140"/>
      <c r="BS72" s="140"/>
      <c r="BT72" s="140"/>
      <c r="BY72" s="134"/>
    </row>
    <row r="73" spans="1:77" ht="15" customHeight="1">
      <c r="A73" s="134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R73" s="140"/>
      <c r="BS73" s="140"/>
      <c r="BT73" s="140"/>
      <c r="BY73" s="134"/>
    </row>
    <row r="74" spans="1:77" ht="21.75" customHeight="1">
      <c r="A74" s="134"/>
      <c r="H74" s="140"/>
      <c r="I74" s="140"/>
      <c r="J74" s="140"/>
      <c r="K74" s="140"/>
      <c r="L74" s="140"/>
      <c r="M74" s="140"/>
      <c r="N74" s="140"/>
      <c r="O74" s="140"/>
      <c r="P74" s="413" t="str">
        <f>'Raw data &amp; Hourly Summary'!S12</f>
        <v>Great N Rd</v>
      </c>
      <c r="Q74" s="413"/>
      <c r="R74" s="413"/>
      <c r="S74" s="413"/>
      <c r="T74" s="413"/>
      <c r="U74" s="413"/>
      <c r="V74" s="413"/>
      <c r="W74" s="413"/>
      <c r="X74" s="413"/>
      <c r="Y74" s="413"/>
      <c r="Z74" s="413"/>
      <c r="AA74" s="413"/>
      <c r="AB74" s="413"/>
      <c r="AC74" s="413"/>
      <c r="AD74" s="413"/>
      <c r="AE74" s="413"/>
      <c r="AF74" s="413"/>
      <c r="AG74" s="413"/>
      <c r="AM74" s="140"/>
      <c r="AN74" s="140"/>
      <c r="AO74" s="140"/>
      <c r="AU74" s="414" t="str">
        <f>'Raw data &amp; Hourly Summary'!X12</f>
        <v>St Georges Rd</v>
      </c>
      <c r="AV74" s="414"/>
      <c r="AW74" s="414"/>
      <c r="AX74" s="414"/>
      <c r="AY74" s="414"/>
      <c r="AZ74" s="414"/>
      <c r="BA74" s="414"/>
      <c r="BB74" s="414"/>
      <c r="BC74" s="414"/>
      <c r="BD74" s="414"/>
      <c r="BE74" s="414"/>
      <c r="BF74" s="414"/>
      <c r="BG74" s="414"/>
      <c r="BH74" s="414"/>
      <c r="BI74" s="414"/>
      <c r="BJ74" s="414"/>
      <c r="BK74" s="414"/>
      <c r="BL74" s="414"/>
      <c r="BM74" s="140"/>
      <c r="BN74" s="140"/>
      <c r="BR74" s="140"/>
      <c r="BS74" s="140"/>
      <c r="BT74" s="140"/>
      <c r="BY74" s="134"/>
    </row>
    <row r="75" spans="1:77" ht="15" customHeight="1">
      <c r="A75" s="134"/>
      <c r="BY75" s="134"/>
    </row>
    <row r="76" spans="1:77" ht="15" customHeight="1">
      <c r="A76" s="134"/>
      <c r="BY76" s="134"/>
    </row>
    <row r="77" spans="1:77" ht="9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</row>
  </sheetData>
  <mergeCells count="16">
    <mergeCell ref="AD12:AX12"/>
    <mergeCell ref="P74:AG74"/>
    <mergeCell ref="AG61:AH62"/>
    <mergeCell ref="AG64:AH65"/>
    <mergeCell ref="AU74:BL74"/>
    <mergeCell ref="BC64:BD65"/>
    <mergeCell ref="BR23:BR49"/>
    <mergeCell ref="J23:J49"/>
    <mergeCell ref="BG30:BG32"/>
    <mergeCell ref="BI30:BI32"/>
    <mergeCell ref="AI21:AJ22"/>
    <mergeCell ref="AI24:AJ25"/>
    <mergeCell ref="S45:S47"/>
    <mergeCell ref="U45:U47"/>
    <mergeCell ref="AN40:AO40"/>
    <mergeCell ref="AN42:AO42"/>
  </mergeCells>
  <phoneticPr fontId="1" type="noConversion"/>
  <pageMargins left="0.7" right="0.7" top="0.75" bottom="0.75" header="0.3" footer="0.3"/>
  <pageSetup paperSize="9" scale="5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 sizeWithCells="1">
                  <from>
                    <xdr:col>4</xdr:col>
                    <xdr:colOff>0</xdr:colOff>
                    <xdr:row>13</xdr:row>
                    <xdr:rowOff>85725</xdr:rowOff>
                  </from>
                  <to>
                    <xdr:col>8</xdr:col>
                    <xdr:colOff>133350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Drop Down 2">
              <controlPr defaultSize="0" autoLine="0" autoPict="0">
                <anchor moveWithCells="1" sizeWithCells="1">
                  <from>
                    <xdr:col>9</xdr:col>
                    <xdr:colOff>266700</xdr:colOff>
                    <xdr:row>13</xdr:row>
                    <xdr:rowOff>85725</xdr:rowOff>
                  </from>
                  <to>
                    <xdr:col>15</xdr:col>
                    <xdr:colOff>266700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3729-C928-4617-A615-ADDD93C53E8E}">
  <sheetPr>
    <pageSetUpPr fitToPage="1"/>
  </sheetPr>
  <dimension ref="A1:BY77"/>
  <sheetViews>
    <sheetView showGridLines="0" zoomScaleNormal="100" workbookViewId="0"/>
  </sheetViews>
  <sheetFormatPr defaultColWidth="3.625" defaultRowHeight="15" customHeight="1"/>
  <cols>
    <col min="1" max="1" width="1.625" style="135" customWidth="1"/>
    <col min="2" max="2" width="3.625" style="135"/>
    <col min="3" max="7" width="2.625" style="135" customWidth="1"/>
    <col min="8" max="8" width="3.625" style="135" customWidth="1"/>
    <col min="9" max="9" width="2.125" style="135" customWidth="1"/>
    <col min="10" max="10" width="3.625" style="135" customWidth="1"/>
    <col min="11" max="11" width="3" style="135" customWidth="1"/>
    <col min="12" max="12" width="0.625" style="135" customWidth="1"/>
    <col min="13" max="13" width="3.625" style="135" customWidth="1"/>
    <col min="14" max="15" width="1.625" style="135" customWidth="1"/>
    <col min="16" max="16" width="5.625" style="135" customWidth="1"/>
    <col min="17" max="18" width="1.625" style="135" customWidth="1"/>
    <col min="19" max="19" width="5.625" style="135" customWidth="1"/>
    <col min="20" max="20" width="1.625" style="135" customWidth="1"/>
    <col min="21" max="21" width="5.625" style="135" customWidth="1"/>
    <col min="22" max="22" width="1.625" style="135" customWidth="1"/>
    <col min="23" max="23" width="5.625" style="135" customWidth="1"/>
    <col min="24" max="24" width="1.625" style="135" customWidth="1"/>
    <col min="25" max="25" width="5.625" style="135" customWidth="1"/>
    <col min="26" max="26" width="1.625" style="135" customWidth="1"/>
    <col min="27" max="27" width="5.625" style="135" customWidth="1"/>
    <col min="28" max="28" width="1.625" style="135" customWidth="1"/>
    <col min="29" max="29" width="5.625" style="135" customWidth="1"/>
    <col min="30" max="30" width="1.625" style="135" customWidth="1"/>
    <col min="31" max="31" width="5.625" style="135" customWidth="1"/>
    <col min="32" max="32" width="1.625" style="135" customWidth="1"/>
    <col min="33" max="33" width="5.625" style="135" customWidth="1"/>
    <col min="34" max="34" width="1.625" style="135" customWidth="1"/>
    <col min="35" max="35" width="5.625" style="135" customWidth="1"/>
    <col min="36" max="36" width="1.625" style="135" customWidth="1"/>
    <col min="37" max="37" width="5.625" style="135" customWidth="1"/>
    <col min="38" max="38" width="1.625" style="135" customWidth="1"/>
    <col min="39" max="39" width="5.625" style="135" customWidth="1"/>
    <col min="40" max="40" width="1.625" style="135" customWidth="1"/>
    <col min="41" max="41" width="5.625" style="135" customWidth="1"/>
    <col min="42" max="42" width="1.625" style="135" customWidth="1"/>
    <col min="43" max="43" width="5.625" style="135" customWidth="1"/>
    <col min="44" max="44" width="1.625" style="135" customWidth="1"/>
    <col min="45" max="45" width="5.625" style="135" customWidth="1"/>
    <col min="46" max="46" width="1.625" style="135" customWidth="1"/>
    <col min="47" max="47" width="5.625" style="135" customWidth="1"/>
    <col min="48" max="48" width="1.625" style="135" customWidth="1"/>
    <col min="49" max="49" width="5.625" style="135" customWidth="1"/>
    <col min="50" max="50" width="1.625" style="135" customWidth="1"/>
    <col min="51" max="51" width="5.625" style="135" customWidth="1"/>
    <col min="52" max="52" width="1.625" style="135" customWidth="1"/>
    <col min="53" max="53" width="5.625" style="135" customWidth="1"/>
    <col min="54" max="54" width="1.625" style="135" customWidth="1"/>
    <col min="55" max="55" width="5.625" style="135" customWidth="1"/>
    <col min="56" max="56" width="1.625" style="135" customWidth="1"/>
    <col min="57" max="57" width="5.625" style="135" customWidth="1"/>
    <col min="58" max="58" width="1.625" style="135" customWidth="1"/>
    <col min="59" max="59" width="5.625" style="135" customWidth="1"/>
    <col min="60" max="60" width="1.625" style="135" customWidth="1"/>
    <col min="61" max="61" width="5.625" style="135" customWidth="1"/>
    <col min="62" max="62" width="1.625" style="135" customWidth="1"/>
    <col min="63" max="63" width="1.5" style="135" customWidth="1"/>
    <col min="64" max="64" width="5.625" style="135" customWidth="1"/>
    <col min="65" max="66" width="1.625" style="135" customWidth="1"/>
    <col min="67" max="67" width="3.625" style="135"/>
    <col min="68" max="68" width="3" style="135" customWidth="1"/>
    <col min="69" max="69" width="0.625" style="135" customWidth="1"/>
    <col min="70" max="70" width="3.625" style="135"/>
    <col min="71" max="71" width="2.125" style="135" customWidth="1"/>
    <col min="72" max="76" width="3.625" style="135"/>
    <col min="77" max="77" width="1.625" style="135" customWidth="1"/>
    <col min="78" max="16384" width="3.625" style="135"/>
  </cols>
  <sheetData>
    <row r="1" spans="1:77" ht="8.2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</row>
    <row r="2" spans="1:77" ht="17.25" customHeight="1">
      <c r="A2" s="134"/>
      <c r="C2" s="136"/>
      <c r="D2" s="136"/>
      <c r="E2" s="136"/>
      <c r="F2" s="136"/>
      <c r="G2" s="136"/>
      <c r="H2" s="136"/>
      <c r="I2" s="136"/>
      <c r="BY2" s="134"/>
    </row>
    <row r="3" spans="1:77" ht="17.25" customHeight="1">
      <c r="A3" s="134"/>
      <c r="C3" s="136"/>
      <c r="D3" s="137" t="s">
        <v>0</v>
      </c>
      <c r="E3" s="136"/>
      <c r="F3" s="136"/>
      <c r="H3" s="135" t="str">
        <f>'Raw data &amp; Hourly Summary'!E3</f>
        <v>: NZNth13356</v>
      </c>
      <c r="I3" s="136"/>
      <c r="BY3" s="134"/>
    </row>
    <row r="4" spans="1:77" ht="17.25" customHeight="1">
      <c r="A4" s="134"/>
      <c r="C4" s="136"/>
      <c r="D4" s="137" t="s">
        <v>1</v>
      </c>
      <c r="E4" s="136"/>
      <c r="F4" s="136"/>
      <c r="H4" s="135" t="str">
        <f>'Raw data &amp; Hourly Summary'!E4</f>
        <v>: Auckland Transport</v>
      </c>
      <c r="I4" s="136"/>
      <c r="BY4" s="134"/>
    </row>
    <row r="5" spans="1:77" ht="17.25" customHeight="1">
      <c r="A5" s="134"/>
      <c r="C5" s="136"/>
      <c r="D5" s="137" t="s">
        <v>2</v>
      </c>
      <c r="E5" s="136"/>
      <c r="F5" s="136"/>
      <c r="H5" s="135" t="str">
        <f>'Raw data &amp; Hourly Summary'!E5</f>
        <v>: Preston Road Surveys</v>
      </c>
      <c r="I5" s="136"/>
      <c r="BY5" s="134"/>
    </row>
    <row r="6" spans="1:77" ht="17.25" customHeight="1">
      <c r="A6" s="134"/>
      <c r="C6" s="136"/>
      <c r="D6" s="137" t="s">
        <v>3</v>
      </c>
      <c r="E6" s="136"/>
      <c r="F6" s="136"/>
      <c r="H6" s="135" t="str">
        <f>'Raw data &amp; Hourly Summary'!E6</f>
        <v>: 2. Great N Rd / St Georges Rd / St Jude St / Wingate St</v>
      </c>
      <c r="I6" s="136"/>
      <c r="BY6" s="134"/>
    </row>
    <row r="7" spans="1:77" ht="17.25" customHeight="1">
      <c r="A7" s="134"/>
      <c r="C7" s="136"/>
      <c r="E7" s="136"/>
      <c r="F7" s="136"/>
      <c r="I7" s="136"/>
      <c r="BY7" s="134"/>
    </row>
    <row r="8" spans="1:77" ht="17.25" customHeight="1">
      <c r="A8" s="134"/>
      <c r="C8" s="136"/>
      <c r="D8" s="137" t="s">
        <v>12</v>
      </c>
      <c r="E8" s="136"/>
      <c r="F8" s="136"/>
      <c r="H8" s="135" t="str">
        <f>'Raw data &amp; Hourly Summary'!E8</f>
        <v>: Wed, 3 September 2025</v>
      </c>
      <c r="I8" s="136"/>
      <c r="BY8" s="134"/>
    </row>
    <row r="9" spans="1:77" ht="17.25" customHeight="1">
      <c r="A9" s="134"/>
      <c r="C9" s="136"/>
      <c r="D9" s="137" t="s">
        <v>13</v>
      </c>
      <c r="E9" s="136"/>
      <c r="F9" s="136"/>
      <c r="H9" s="135" t="str">
        <f>'Raw data &amp; Hourly Summary'!E9</f>
        <v>: Fine</v>
      </c>
      <c r="I9" s="136"/>
      <c r="BY9" s="134"/>
    </row>
    <row r="10" spans="1:77" ht="17.25" customHeight="1">
      <c r="A10" s="134"/>
      <c r="C10" s="136"/>
      <c r="D10" s="137" t="s">
        <v>4</v>
      </c>
      <c r="E10" s="136"/>
      <c r="F10" s="136"/>
      <c r="H10" s="135" t="str">
        <f>'Raw data &amp; Hourly Summary'!E10</f>
        <v>: Classified Intersection Count</v>
      </c>
      <c r="I10" s="136"/>
      <c r="BY10" s="134"/>
    </row>
    <row r="11" spans="1:77" ht="17.25" customHeight="1">
      <c r="A11" s="134"/>
      <c r="C11" s="136"/>
      <c r="D11" s="136"/>
      <c r="E11" s="136"/>
      <c r="F11" s="136"/>
      <c r="H11" s="138" t="s">
        <v>18</v>
      </c>
      <c r="I11" s="139"/>
      <c r="J11" s="139"/>
      <c r="K11" s="139"/>
      <c r="L11" s="139"/>
      <c r="M11" s="139"/>
      <c r="N11" s="139"/>
      <c r="O11" s="139"/>
      <c r="BY11" s="134"/>
    </row>
    <row r="12" spans="1:77" ht="21.75" customHeight="1" thickBot="1">
      <c r="A12" s="134"/>
      <c r="F12" s="140"/>
      <c r="H12" s="140"/>
      <c r="I12" s="140"/>
      <c r="J12" s="140"/>
      <c r="K12" s="140"/>
      <c r="L12" s="140"/>
      <c r="M12" s="140"/>
      <c r="N12" s="140"/>
      <c r="O12" s="250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D12" s="412" t="str">
        <f>'Raw data &amp; Hourly Summary'!U2</f>
        <v>Great N Rd</v>
      </c>
      <c r="AE12" s="412"/>
      <c r="AF12" s="412"/>
      <c r="AG12" s="412"/>
      <c r="AH12" s="412"/>
      <c r="AI12" s="412"/>
      <c r="AJ12" s="412"/>
      <c r="AK12" s="412"/>
      <c r="AL12" s="412"/>
      <c r="AM12" s="412"/>
      <c r="AN12" s="412"/>
      <c r="AO12" s="412"/>
      <c r="AP12" s="412"/>
      <c r="AQ12" s="412"/>
      <c r="AR12" s="412"/>
      <c r="AS12" s="412"/>
      <c r="AT12" s="412"/>
      <c r="AU12" s="412"/>
      <c r="AV12" s="412"/>
      <c r="AW12" s="412"/>
      <c r="AX12" s="412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Y12" s="134"/>
    </row>
    <row r="13" spans="1:77" ht="15" customHeight="1">
      <c r="A13" s="134"/>
      <c r="D13" s="182"/>
      <c r="E13" s="183" t="s">
        <v>71</v>
      </c>
      <c r="F13" s="184"/>
      <c r="G13" s="185"/>
      <c r="H13" s="184"/>
      <c r="I13" s="184"/>
      <c r="J13" s="184"/>
      <c r="K13" s="183" t="s">
        <v>72</v>
      </c>
      <c r="L13" s="185"/>
      <c r="M13" s="185"/>
      <c r="N13" s="185"/>
      <c r="O13" s="184"/>
      <c r="P13" s="186"/>
      <c r="Q13" s="140"/>
      <c r="R13" s="145"/>
      <c r="S13" s="145"/>
      <c r="T13" s="143"/>
      <c r="U13" s="146"/>
      <c r="W13" s="140"/>
      <c r="X13" s="140"/>
      <c r="Y13" s="140"/>
      <c r="Z13" s="140"/>
      <c r="AA13" s="140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140"/>
      <c r="BA13" s="140"/>
      <c r="BB13" s="140"/>
      <c r="BC13" s="140"/>
      <c r="BD13" s="140"/>
      <c r="BE13" s="140"/>
      <c r="BF13" s="145"/>
      <c r="BG13" s="145"/>
      <c r="BH13" s="143"/>
      <c r="BI13" s="146"/>
      <c r="BY13" s="134"/>
    </row>
    <row r="14" spans="1:77" ht="15" customHeight="1">
      <c r="A14" s="134"/>
      <c r="D14" s="187"/>
      <c r="G14" s="140"/>
      <c r="H14" s="140"/>
      <c r="I14" s="140"/>
      <c r="J14" s="140"/>
      <c r="K14" s="140"/>
      <c r="L14" s="140"/>
      <c r="M14" s="140"/>
      <c r="N14" s="140"/>
      <c r="P14" s="188"/>
      <c r="Q14" s="140"/>
      <c r="W14" s="140"/>
      <c r="X14" s="140"/>
      <c r="Y14" s="140"/>
      <c r="Z14" s="140"/>
      <c r="AA14" s="140"/>
      <c r="AD14" s="140"/>
      <c r="AE14" s="144" t="s">
        <v>8</v>
      </c>
      <c r="AG14" s="145"/>
      <c r="AH14" s="140"/>
      <c r="AI14" s="141"/>
      <c r="AJ14" s="140"/>
      <c r="AK14" s="142"/>
      <c r="AL14" s="142"/>
      <c r="AM14" s="142"/>
      <c r="AO14" s="146"/>
      <c r="AP14" s="140"/>
      <c r="AQ14" s="140"/>
      <c r="AS14" s="140"/>
      <c r="AW14" s="144" t="s">
        <v>8</v>
      </c>
      <c r="AY14" s="140"/>
      <c r="AZ14" s="140"/>
      <c r="BA14" s="140"/>
      <c r="BB14" s="140"/>
      <c r="BC14" s="140"/>
      <c r="BD14" s="140"/>
      <c r="BE14" s="140"/>
      <c r="BY14" s="134"/>
    </row>
    <row r="15" spans="1:77" ht="15" customHeight="1" thickBot="1">
      <c r="A15" s="134"/>
      <c r="D15" s="187"/>
      <c r="G15" s="140"/>
      <c r="H15" s="140"/>
      <c r="I15" s="140"/>
      <c r="J15" s="140"/>
      <c r="K15" s="140"/>
      <c r="L15" s="140"/>
      <c r="M15" s="140"/>
      <c r="N15" s="140"/>
      <c r="P15" s="188"/>
      <c r="Q15" s="140"/>
      <c r="R15" s="288"/>
      <c r="S15" s="288"/>
      <c r="T15" s="288"/>
      <c r="U15" s="142"/>
      <c r="W15" s="140"/>
      <c r="X15" s="140"/>
      <c r="Y15" s="140"/>
      <c r="Z15" s="140"/>
      <c r="AA15" s="140"/>
      <c r="AD15" s="140"/>
      <c r="AE15" s="147" t="s">
        <v>70</v>
      </c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S15" s="140"/>
      <c r="AV15" s="288"/>
      <c r="AW15" s="147" t="s">
        <v>69</v>
      </c>
      <c r="AX15" s="288"/>
      <c r="AY15" s="140"/>
      <c r="AZ15" s="140"/>
      <c r="BA15" s="140"/>
      <c r="BB15" s="140"/>
      <c r="BC15" s="140"/>
      <c r="BD15" s="140"/>
      <c r="BE15" s="140"/>
      <c r="BF15" s="288"/>
      <c r="BG15" s="288"/>
      <c r="BH15" s="288"/>
      <c r="BI15" s="142"/>
      <c r="BY15" s="134"/>
    </row>
    <row r="16" spans="1:77" ht="9.9499999999999993" customHeight="1" thickBot="1">
      <c r="A16" s="134"/>
      <c r="D16" s="189"/>
      <c r="E16" s="190"/>
      <c r="F16" s="190"/>
      <c r="G16" s="191"/>
      <c r="H16" s="191"/>
      <c r="I16" s="191"/>
      <c r="J16" s="191"/>
      <c r="K16" s="191"/>
      <c r="L16" s="191"/>
      <c r="M16" s="191"/>
      <c r="N16" s="191"/>
      <c r="O16" s="190"/>
      <c r="P16" s="192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D16" s="148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5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Y16" s="134"/>
    </row>
    <row r="17" spans="1:77" ht="15" customHeight="1">
      <c r="A17" s="134"/>
      <c r="R17" s="140"/>
      <c r="S17" s="142"/>
      <c r="T17" s="140"/>
      <c r="U17" s="284"/>
      <c r="V17" s="140"/>
      <c r="W17" s="140"/>
      <c r="X17" s="140"/>
      <c r="Y17" s="285"/>
      <c r="Z17" s="285"/>
      <c r="AA17" s="285"/>
      <c r="AD17" s="154"/>
      <c r="AE17" s="155">
        <f ca="1">'Raw data &amp; Hourly Summary'!CC131</f>
        <v>1990</v>
      </c>
      <c r="AF17" s="157"/>
      <c r="AG17" s="292" t="s">
        <v>40</v>
      </c>
      <c r="AH17" s="157"/>
      <c r="AI17" s="157"/>
      <c r="AJ17" s="157"/>
      <c r="AK17" s="157"/>
      <c r="AL17" s="157"/>
      <c r="AM17" s="293">
        <f ca="1">'Raw data &amp; Hourly Summary'!CO128</f>
        <v>42</v>
      </c>
      <c r="AN17" s="157"/>
      <c r="AO17" s="293">
        <f ca="1">'Raw data &amp; Hourly Summary'!CN128</f>
        <v>163</v>
      </c>
      <c r="AP17" s="157"/>
      <c r="AQ17" s="293">
        <f ca="1">'Raw data &amp; Hourly Summary'!CM128</f>
        <v>1316</v>
      </c>
      <c r="AR17" s="157"/>
      <c r="AS17" s="293">
        <f ca="1">'Raw data &amp; Hourly Summary'!CL128</f>
        <v>903</v>
      </c>
      <c r="AT17" s="156"/>
      <c r="AU17" s="293">
        <f ca="1">'Raw data &amp; Hourly Summary'!CK128</f>
        <v>149</v>
      </c>
      <c r="AV17" s="156"/>
      <c r="AW17" s="155">
        <f ca="1">'Raw data &amp; Hourly Summary'!CB131</f>
        <v>2573</v>
      </c>
      <c r="AX17" s="158"/>
      <c r="AY17" s="285"/>
      <c r="AZ17" s="140"/>
      <c r="BA17" s="285"/>
      <c r="BB17" s="195"/>
      <c r="BC17" s="285"/>
      <c r="BD17" s="195"/>
      <c r="BE17" s="285"/>
      <c r="BF17" s="195"/>
      <c r="BG17" s="285"/>
      <c r="BH17" s="195"/>
      <c r="BI17" s="142"/>
      <c r="BJ17" s="140"/>
      <c r="BY17" s="134"/>
    </row>
    <row r="18" spans="1:77" ht="15" customHeight="1">
      <c r="A18" s="134"/>
      <c r="R18" s="140"/>
      <c r="S18" s="286"/>
      <c r="T18" s="140"/>
      <c r="U18" s="284"/>
      <c r="V18" s="140"/>
      <c r="W18" s="140"/>
      <c r="X18" s="140"/>
      <c r="Y18" s="286"/>
      <c r="Z18" s="286"/>
      <c r="AA18" s="286"/>
      <c r="AD18" s="154"/>
      <c r="AE18" s="166">
        <f ca="1">IF(AE17=0,0,AE17/IF(COUNTA('Raw data &amp; Hourly Summary'!$BQ$139:$BQ$152)&gt;='Raw data &amp; Hourly Summary'!$BQ$128,'Raw data &amp; Hourly Summary'!CC134,'Raw data &amp; Hourly Summary'!CC135))</f>
        <v>1</v>
      </c>
      <c r="AF18" s="156"/>
      <c r="AG18" s="294" t="s">
        <v>41</v>
      </c>
      <c r="AH18" s="156"/>
      <c r="AI18" s="156"/>
      <c r="AJ18" s="156"/>
      <c r="AK18" s="156"/>
      <c r="AL18" s="156"/>
      <c r="AM18" s="295">
        <f ca="1">IF(AM17=0,0,AM17/$AW$17)</f>
        <v>1.6323357947920714E-2</v>
      </c>
      <c r="AN18" s="156"/>
      <c r="AO18" s="295">
        <f ca="1">IF(AO17=0,0,AO17/$AW$17)</f>
        <v>6.3350174893120864E-2</v>
      </c>
      <c r="AP18" s="156"/>
      <c r="AQ18" s="295">
        <f ca="1">IF(AQ17=0,0,AQ17/$AW$17)</f>
        <v>0.51146521570151571</v>
      </c>
      <c r="AR18" s="156"/>
      <c r="AS18" s="295">
        <f ca="1">IF(AS17=0,0,AS17/$AW$17)</f>
        <v>0.35095219588029536</v>
      </c>
      <c r="AT18" s="156"/>
      <c r="AU18" s="295">
        <f ca="1">IF(AU17=0,0,AU17/$AW$17)</f>
        <v>5.7909055577147296E-2</v>
      </c>
      <c r="AV18" s="156"/>
      <c r="AW18" s="166">
        <f ca="1">IF(AW17=0,0,AW17/IF(COUNTA('Raw data &amp; Hourly Summary'!$BQ$139:$BQ$152)&gt;='Raw data &amp; Hourly Summary'!$BQ$128,'Raw data &amp; Hourly Summary'!CB134,'Raw data &amp; Hourly Summary'!CB135))</f>
        <v>1</v>
      </c>
      <c r="AX18" s="158"/>
      <c r="AY18" s="286"/>
      <c r="AZ18" s="140"/>
      <c r="BA18" s="286"/>
      <c r="BB18" s="140"/>
      <c r="BC18" s="286"/>
      <c r="BD18" s="140"/>
      <c r="BE18" s="286"/>
      <c r="BF18" s="140"/>
      <c r="BG18" s="286"/>
      <c r="BH18" s="140"/>
      <c r="BI18" s="287"/>
      <c r="BJ18" s="140"/>
      <c r="BY18" s="134"/>
    </row>
    <row r="19" spans="1:77" ht="9.9499999999999993" customHeight="1" thickBot="1">
      <c r="A19" s="134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D19" s="170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2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Y19" s="134"/>
    </row>
    <row r="20" spans="1:77" ht="9.9499999999999993" customHeight="1">
      <c r="A20" s="134"/>
      <c r="O20" s="140"/>
      <c r="P20" s="176"/>
      <c r="Q20" s="143"/>
      <c r="R20" s="143"/>
      <c r="S20" s="143"/>
      <c r="T20" s="143"/>
      <c r="U20" s="143"/>
      <c r="V20" s="140"/>
      <c r="W20" s="140"/>
      <c r="X20" s="140"/>
      <c r="Y20" s="140"/>
      <c r="Z20" s="140"/>
      <c r="AA20" s="140"/>
      <c r="AD20" s="140"/>
      <c r="AE20" s="143"/>
      <c r="AF20" s="143"/>
      <c r="AG20" s="143"/>
      <c r="AH20" s="176"/>
      <c r="AI20" s="176"/>
      <c r="AO20" s="176"/>
      <c r="AP20" s="176"/>
      <c r="AQ20" s="140"/>
      <c r="BY20" s="134"/>
    </row>
    <row r="21" spans="1:77" ht="15" customHeight="1">
      <c r="A21" s="134"/>
      <c r="T21" s="140"/>
      <c r="U21" s="142"/>
      <c r="W21" s="283"/>
      <c r="X21" s="283"/>
      <c r="Y21" s="143"/>
      <c r="Z21" s="143"/>
      <c r="AA21" s="142"/>
      <c r="AD21" s="140"/>
      <c r="AE21" s="155">
        <f>'Raw data &amp; Hourly Summary'!CC132</f>
        <v>634</v>
      </c>
      <c r="AF21" s="142"/>
      <c r="AG21" s="142"/>
      <c r="AH21" s="142"/>
      <c r="AI21" s="415" t="s">
        <v>28</v>
      </c>
      <c r="AJ21" s="416"/>
      <c r="AK21" s="143" t="s">
        <v>30</v>
      </c>
      <c r="AL21" s="142"/>
      <c r="AM21" s="177">
        <f>'Raw data &amp; Hourly Summary'!CO139</f>
        <v>3</v>
      </c>
      <c r="AN21" s="142"/>
      <c r="AO21" s="177">
        <f>'Raw data &amp; Hourly Summary'!CN139</f>
        <v>21</v>
      </c>
      <c r="AP21" s="142"/>
      <c r="AQ21" s="177">
        <f>'Raw data &amp; Hourly Summary'!CM139</f>
        <v>254</v>
      </c>
      <c r="AR21" s="142"/>
      <c r="AS21" s="177">
        <f>'Raw data &amp; Hourly Summary'!CL139</f>
        <v>172</v>
      </c>
      <c r="AU21" s="177">
        <f>'Raw data &amp; Hourly Summary'!CK139</f>
        <v>42</v>
      </c>
      <c r="AV21" s="283"/>
      <c r="AW21" s="155">
        <f>'Raw data &amp; Hourly Summary'!CB132</f>
        <v>492</v>
      </c>
      <c r="AY21" s="142"/>
      <c r="AZ21" s="142"/>
      <c r="BA21" s="142"/>
      <c r="BB21" s="142"/>
      <c r="BC21" s="142"/>
      <c r="BD21" s="142"/>
      <c r="BE21" s="142"/>
      <c r="BG21" s="142"/>
      <c r="BY21" s="134"/>
    </row>
    <row r="22" spans="1:77" ht="15" customHeight="1" thickBot="1">
      <c r="A22" s="134"/>
      <c r="J22" s="407" t="str">
        <f>'Raw data &amp; Hourly Summary'!S3</f>
        <v>Wingate St</v>
      </c>
      <c r="T22" s="140"/>
      <c r="U22" s="287"/>
      <c r="W22" s="283"/>
      <c r="X22" s="283"/>
      <c r="Y22" s="143"/>
      <c r="Z22" s="143"/>
      <c r="AA22" s="287"/>
      <c r="AD22" s="140"/>
      <c r="AE22" s="166">
        <f>IF(AE21=0,0,AE21/'Raw data &amp; Hourly Summary'!CC134)</f>
        <v>0.33651804670912949</v>
      </c>
      <c r="AF22" s="179"/>
      <c r="AG22" s="287"/>
      <c r="AH22" s="179"/>
      <c r="AI22" s="416"/>
      <c r="AJ22" s="416"/>
      <c r="AK22" s="143" t="s">
        <v>31</v>
      </c>
      <c r="AL22" s="179"/>
      <c r="AM22" s="178">
        <f>IF(AM21=0,0,AM21/$AW$21)</f>
        <v>6.0975609756097563E-3</v>
      </c>
      <c r="AN22" s="179"/>
      <c r="AO22" s="178">
        <f>IF(AO21=0,0,AO21/$AW$21)</f>
        <v>4.2682926829268296E-2</v>
      </c>
      <c r="AP22" s="179"/>
      <c r="AQ22" s="178">
        <f>IF(AQ21=0,0,AQ21/$AW$21)</f>
        <v>0.51626016260162599</v>
      </c>
      <c r="AR22" s="180"/>
      <c r="AS22" s="178">
        <f>IF(AS21=0,0,AS21/$AW$21)</f>
        <v>0.34959349593495936</v>
      </c>
      <c r="AU22" s="178">
        <f>IF(AU21=0,0,AU21/$AW$21)</f>
        <v>8.5365853658536592E-2</v>
      </c>
      <c r="AV22" s="283"/>
      <c r="AW22" s="166">
        <f>IF(AW21=0,0,AW21/'Raw data &amp; Hourly Summary'!CB134)</f>
        <v>0.36881559220389803</v>
      </c>
      <c r="AY22" s="287"/>
      <c r="AZ22" s="179"/>
      <c r="BA22" s="287"/>
      <c r="BB22" s="179"/>
      <c r="BC22" s="287"/>
      <c r="BD22" s="179"/>
      <c r="BE22" s="287"/>
      <c r="BG22" s="287"/>
      <c r="BR22" s="406" t="str">
        <f>'Raw data &amp; Hourly Summary'!AA3</f>
        <v>St Jude St</v>
      </c>
      <c r="BY22" s="134"/>
    </row>
    <row r="23" spans="1:77" ht="9.9499999999999993" customHeight="1">
      <c r="A23" s="134"/>
      <c r="J23" s="407"/>
      <c r="O23" s="196"/>
      <c r="P23" s="197"/>
      <c r="Q23" s="198"/>
      <c r="T23" s="140"/>
      <c r="U23" s="176"/>
      <c r="W23" s="181"/>
      <c r="X23" s="181"/>
      <c r="Y23" s="140"/>
      <c r="Z23" s="140"/>
      <c r="AA23" s="143"/>
      <c r="AD23" s="140"/>
      <c r="AE23" s="176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U23" s="143"/>
      <c r="AV23" s="181"/>
      <c r="AW23" s="176"/>
      <c r="AY23" s="143"/>
      <c r="AZ23" s="143"/>
      <c r="BA23" s="143"/>
      <c r="BB23" s="143"/>
      <c r="BC23" s="143"/>
      <c r="BD23" s="143"/>
      <c r="BE23" s="143"/>
      <c r="BG23" s="176"/>
      <c r="BK23" s="202"/>
      <c r="BL23" s="203"/>
      <c r="BM23" s="204"/>
      <c r="BR23" s="406"/>
      <c r="BY23" s="134"/>
    </row>
    <row r="24" spans="1:77" ht="15" customHeight="1">
      <c r="A24" s="134"/>
      <c r="J24" s="407"/>
      <c r="M24" s="144" t="s">
        <v>8</v>
      </c>
      <c r="O24" s="205"/>
      <c r="P24" s="155">
        <f ca="1">'Raw data &amp; Hourly Summary'!CD131</f>
        <v>437</v>
      </c>
      <c r="Q24" s="206"/>
      <c r="T24" s="140"/>
      <c r="U24" s="142"/>
      <c r="W24" s="283"/>
      <c r="X24" s="283"/>
      <c r="Y24" s="143"/>
      <c r="Z24" s="143"/>
      <c r="AA24" s="142"/>
      <c r="AD24" s="140"/>
      <c r="AE24" s="155">
        <f>'Raw data &amp; Hourly Summary'!CC133</f>
        <v>529</v>
      </c>
      <c r="AF24" s="142"/>
      <c r="AG24" s="142"/>
      <c r="AH24" s="142"/>
      <c r="AI24" s="415" t="s">
        <v>29</v>
      </c>
      <c r="AJ24" s="415"/>
      <c r="AK24" s="143" t="s">
        <v>30</v>
      </c>
      <c r="AL24" s="142"/>
      <c r="AM24" s="177">
        <f>'Raw data &amp; Hourly Summary'!CO140</f>
        <v>9</v>
      </c>
      <c r="AN24" s="142"/>
      <c r="AO24" s="177">
        <f>'Raw data &amp; Hourly Summary'!CN140</f>
        <v>41</v>
      </c>
      <c r="AP24" s="142"/>
      <c r="AQ24" s="177">
        <f>'Raw data &amp; Hourly Summary'!CM140</f>
        <v>366</v>
      </c>
      <c r="AR24" s="142"/>
      <c r="AS24" s="177">
        <f>'Raw data &amp; Hourly Summary'!CL140</f>
        <v>238</v>
      </c>
      <c r="AU24" s="177">
        <f>'Raw data &amp; Hourly Summary'!CK140</f>
        <v>33</v>
      </c>
      <c r="AV24" s="283"/>
      <c r="AW24" s="155">
        <f>'Raw data &amp; Hourly Summary'!CB133</f>
        <v>687</v>
      </c>
      <c r="AY24" s="142"/>
      <c r="AZ24" s="142"/>
      <c r="BA24" s="142"/>
      <c r="BB24" s="142"/>
      <c r="BC24" s="142"/>
      <c r="BD24" s="142"/>
      <c r="BE24" s="142"/>
      <c r="BG24" s="142"/>
      <c r="BK24" s="208"/>
      <c r="BL24" s="155">
        <f ca="1">'Raw data &amp; Hourly Summary'!CA131</f>
        <v>1632</v>
      </c>
      <c r="BM24" s="209"/>
      <c r="BO24" s="144" t="s">
        <v>8</v>
      </c>
      <c r="BR24" s="406"/>
      <c r="BY24" s="134"/>
    </row>
    <row r="25" spans="1:77" ht="15" customHeight="1">
      <c r="A25" s="134"/>
      <c r="J25" s="407"/>
      <c r="M25" s="147" t="s">
        <v>69</v>
      </c>
      <c r="O25" s="210"/>
      <c r="P25" s="166">
        <f ca="1">IF(P24=0,0,P24/IF(COUNTA('Raw data &amp; Hourly Summary'!$BQ$139:$BQ$152)&gt;='Raw data &amp; Hourly Summary'!$BQ$128,'Raw data &amp; Hourly Summary'!CD134,'Raw data &amp; Hourly Summary'!CD135))</f>
        <v>1</v>
      </c>
      <c r="Q25" s="211"/>
      <c r="T25" s="140"/>
      <c r="U25" s="287"/>
      <c r="W25" s="283"/>
      <c r="X25" s="283"/>
      <c r="Y25" s="143"/>
      <c r="Z25" s="143"/>
      <c r="AA25" s="287"/>
      <c r="AD25" s="140"/>
      <c r="AE25" s="166">
        <f>IF(AE24=0,0,AE24/'Raw data &amp; Hourly Summary'!CC135)</f>
        <v>0.26582914572864319</v>
      </c>
      <c r="AF25" s="179"/>
      <c r="AG25" s="287"/>
      <c r="AH25" s="179"/>
      <c r="AI25" s="415"/>
      <c r="AJ25" s="415"/>
      <c r="AK25" s="143" t="s">
        <v>31</v>
      </c>
      <c r="AL25" s="179"/>
      <c r="AM25" s="178">
        <f>IF(AM24=0,0,AM24/$AW$24)</f>
        <v>1.3100436681222707E-2</v>
      </c>
      <c r="AN25" s="179"/>
      <c r="AO25" s="178">
        <f>IF(AO24=0,0,AO24/$AW$24)</f>
        <v>5.9679767103347887E-2</v>
      </c>
      <c r="AP25" s="179"/>
      <c r="AQ25" s="178">
        <f>IF(AQ24=0,0,AQ24/$AW$24)</f>
        <v>0.53275109170305679</v>
      </c>
      <c r="AR25" s="180"/>
      <c r="AS25" s="178">
        <f>IF(AS24=0,0,AS24/$AW$24)</f>
        <v>0.34643377001455605</v>
      </c>
      <c r="AU25" s="178">
        <f>IF(AU24=0,0,AU24/$AW$24)</f>
        <v>4.8034934497816595E-2</v>
      </c>
      <c r="AV25" s="283"/>
      <c r="AW25" s="166">
        <f>IF(AW24=0,0,AW24/'Raw data &amp; Hourly Summary'!CB135)</f>
        <v>0.26700349786241739</v>
      </c>
      <c r="AY25" s="287"/>
      <c r="AZ25" s="179"/>
      <c r="BA25" s="287"/>
      <c r="BB25" s="179"/>
      <c r="BC25" s="287"/>
      <c r="BD25" s="179"/>
      <c r="BE25" s="287"/>
      <c r="BG25" s="287"/>
      <c r="BK25" s="213"/>
      <c r="BL25" s="165">
        <f ca="1">IF(BL24=0,0,BL24/IF(COUNTA('Raw data &amp; Hourly Summary'!$BQ$139:$BQ$152)&gt;='Raw data &amp; Hourly Summary'!$BQ$128,'Raw data &amp; Hourly Summary'!CA134,'Raw data &amp; Hourly Summary'!CA135))</f>
        <v>1</v>
      </c>
      <c r="BM25" s="209"/>
      <c r="BO25" s="147" t="s">
        <v>70</v>
      </c>
      <c r="BR25" s="406"/>
      <c r="BY25" s="134"/>
    </row>
    <row r="26" spans="1:77" ht="9.75" customHeight="1">
      <c r="A26" s="134"/>
      <c r="J26" s="407"/>
      <c r="O26" s="210"/>
      <c r="P26" s="214"/>
      <c r="Q26" s="211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M26" s="140"/>
      <c r="AN26" s="140"/>
      <c r="AO26" s="140"/>
      <c r="AQ26" s="140"/>
      <c r="AU26" s="140"/>
      <c r="AY26" s="140"/>
      <c r="AZ26" s="140"/>
      <c r="BA26" s="140"/>
      <c r="BB26" s="140"/>
      <c r="BC26" s="140"/>
      <c r="BD26" s="140"/>
      <c r="BE26" s="140"/>
      <c r="BG26" s="140"/>
      <c r="BK26" s="213"/>
      <c r="BL26" s="216"/>
      <c r="BM26" s="209"/>
      <c r="BN26" s="140"/>
      <c r="BO26" s="140"/>
      <c r="BP26" s="140"/>
      <c r="BQ26" s="140"/>
      <c r="BR26" s="406"/>
      <c r="BS26" s="140"/>
      <c r="BY26" s="134"/>
    </row>
    <row r="27" spans="1:77" ht="15" customHeight="1">
      <c r="A27" s="134"/>
      <c r="J27" s="407"/>
      <c r="O27" s="217"/>
      <c r="P27" s="218">
        <f ca="1">'Raw data &amp; Hourly Summary'!CP128</f>
        <v>139</v>
      </c>
      <c r="Q27" s="206"/>
      <c r="S27" s="155">
        <f>'Raw data &amp; Hourly Summary'!CD132</f>
        <v>125</v>
      </c>
      <c r="T27" s="195"/>
      <c r="U27" s="155">
        <f>'Raw data &amp; Hourly Summary'!CD133</f>
        <v>126</v>
      </c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M27" s="140"/>
      <c r="AN27" s="140"/>
      <c r="AO27" s="140"/>
      <c r="AQ27" s="140"/>
      <c r="AU27" s="140"/>
      <c r="AW27" s="140"/>
      <c r="AY27" s="140"/>
      <c r="AZ27" s="140"/>
      <c r="BA27" s="140"/>
      <c r="BB27" s="140"/>
      <c r="BC27" s="140"/>
      <c r="BD27" s="140"/>
      <c r="BE27" s="140"/>
      <c r="BF27" s="140"/>
      <c r="BG27" s="155">
        <f>'Raw data &amp; Hourly Summary'!CA132</f>
        <v>608</v>
      </c>
      <c r="BH27" s="142"/>
      <c r="BI27" s="155">
        <f>'Raw data &amp; Hourly Summary'!CA133</f>
        <v>430</v>
      </c>
      <c r="BK27" s="221"/>
      <c r="BL27" s="216"/>
      <c r="BM27" s="209"/>
      <c r="BN27" s="140"/>
      <c r="BO27" s="140"/>
      <c r="BP27" s="140"/>
      <c r="BQ27" s="140"/>
      <c r="BR27" s="406"/>
      <c r="BS27" s="140"/>
      <c r="BY27" s="134"/>
    </row>
    <row r="28" spans="1:77" ht="15" customHeight="1">
      <c r="A28" s="134"/>
      <c r="J28" s="407"/>
      <c r="O28" s="217"/>
      <c r="P28" s="222">
        <f ca="1">IF(P27=0,0,P27/$P$24)</f>
        <v>0.3180778032036613</v>
      </c>
      <c r="Q28" s="211"/>
      <c r="S28" s="166">
        <f>IF(S27=0,0,S27/'Raw data &amp; Hourly Summary'!CD134)</f>
        <v>0.29691211401425177</v>
      </c>
      <c r="T28" s="179"/>
      <c r="U28" s="166">
        <f>IF(U27=0,0,U27/'Raw data &amp; Hourly Summary'!CD135)</f>
        <v>0.28832951945080093</v>
      </c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M28" s="140"/>
      <c r="AQ28" s="140"/>
      <c r="AU28" s="140"/>
      <c r="AW28" s="140"/>
      <c r="AY28" s="140"/>
      <c r="AZ28" s="140"/>
      <c r="BA28" s="140"/>
      <c r="BB28" s="140"/>
      <c r="BC28" s="140"/>
      <c r="BD28" s="140"/>
      <c r="BE28" s="140"/>
      <c r="BF28" s="140"/>
      <c r="BG28" s="166">
        <f>IF(BG27=0,0,BG27/'Raw data &amp; Hourly Summary'!CA134)</f>
        <v>0.24407868325973506</v>
      </c>
      <c r="BH28" s="179"/>
      <c r="BI28" s="166">
        <f>IF(BI27=0,0,BI27/'Raw data &amp; Hourly Summary'!CA135)</f>
        <v>0.26348039215686275</v>
      </c>
      <c r="BK28" s="221"/>
      <c r="BL28" s="216"/>
      <c r="BM28" s="209"/>
      <c r="BN28" s="176"/>
      <c r="BO28" s="140"/>
      <c r="BP28" s="140"/>
      <c r="BQ28" s="140"/>
      <c r="BR28" s="406"/>
      <c r="BS28" s="140"/>
      <c r="BY28" s="134"/>
    </row>
    <row r="29" spans="1:77" ht="9.75" customHeight="1">
      <c r="A29" s="134"/>
      <c r="J29" s="407"/>
      <c r="O29" s="217"/>
      <c r="P29" s="214"/>
      <c r="Q29" s="211"/>
      <c r="S29" s="199"/>
      <c r="T29" s="143"/>
      <c r="U29" s="200"/>
      <c r="V29" s="140"/>
      <c r="W29" s="140"/>
      <c r="X29" s="140"/>
      <c r="Y29" s="140"/>
      <c r="Z29" s="140"/>
      <c r="AA29" s="140"/>
      <c r="AB29" s="140"/>
      <c r="AC29" s="193"/>
      <c r="AD29" s="194"/>
      <c r="AE29" s="193"/>
      <c r="AF29" s="194"/>
      <c r="AG29" s="193"/>
      <c r="AH29" s="194"/>
      <c r="AI29" s="193"/>
      <c r="AJ29" s="140"/>
      <c r="AY29" s="140"/>
      <c r="AZ29" s="140"/>
      <c r="BA29" s="140"/>
      <c r="BB29" s="140"/>
      <c r="BC29" s="140"/>
      <c r="BD29" s="140"/>
      <c r="BE29" s="140"/>
      <c r="BG29" s="201"/>
      <c r="BH29" s="176"/>
      <c r="BI29" s="201"/>
      <c r="BK29" s="221"/>
      <c r="BL29" s="216"/>
      <c r="BM29" s="209"/>
      <c r="BN29" s="176"/>
      <c r="BO29" s="140"/>
      <c r="BP29" s="140"/>
      <c r="BQ29" s="140"/>
      <c r="BR29" s="406"/>
      <c r="BS29" s="140"/>
      <c r="BY29" s="134"/>
    </row>
    <row r="30" spans="1:77" ht="15" customHeight="1">
      <c r="A30" s="134"/>
      <c r="J30" s="407"/>
      <c r="O30" s="217"/>
      <c r="P30" s="218">
        <f ca="1">'Raw data &amp; Hourly Summary'!CQ128</f>
        <v>80</v>
      </c>
      <c r="Q30" s="206"/>
      <c r="R30" s="140"/>
      <c r="S30" s="207">
        <f>'Raw data &amp; Hourly Summary'!CP139</f>
        <v>50</v>
      </c>
      <c r="T30" s="142"/>
      <c r="U30" s="177">
        <f>'Raw data &amp; Hourly Summary'!CP140</f>
        <v>36</v>
      </c>
      <c r="V30" s="140"/>
      <c r="W30" s="140"/>
      <c r="Y30" s="193">
        <v>17</v>
      </c>
      <c r="Z30" s="140"/>
      <c r="AA30" s="193"/>
      <c r="AB30" s="140"/>
      <c r="AM30" s="193" t="s">
        <v>87</v>
      </c>
      <c r="AN30" s="194"/>
      <c r="AO30" s="193">
        <v>16</v>
      </c>
      <c r="AP30" s="194"/>
      <c r="AQ30" s="193">
        <v>15</v>
      </c>
      <c r="AR30" s="194"/>
      <c r="AS30" s="193">
        <v>14</v>
      </c>
      <c r="AU30" s="193">
        <v>13</v>
      </c>
      <c r="AW30" s="193"/>
      <c r="AY30" s="193"/>
      <c r="AZ30" s="194"/>
      <c r="BA30" s="193"/>
      <c r="BB30" s="194"/>
      <c r="BC30" s="193"/>
      <c r="BD30" s="194"/>
      <c r="BE30" s="193"/>
      <c r="BG30" s="415" t="s">
        <v>28</v>
      </c>
      <c r="BH30" s="140"/>
      <c r="BI30" s="415" t="s">
        <v>29</v>
      </c>
      <c r="BK30" s="221"/>
      <c r="BL30" s="216"/>
      <c r="BM30" s="209"/>
      <c r="BN30" s="140"/>
      <c r="BO30" s="140"/>
      <c r="BP30" s="140"/>
      <c r="BQ30" s="140"/>
      <c r="BR30" s="406"/>
      <c r="BS30" s="140"/>
      <c r="BY30" s="134"/>
    </row>
    <row r="31" spans="1:77" ht="15" customHeight="1">
      <c r="A31" s="134"/>
      <c r="J31" s="407"/>
      <c r="O31" s="217"/>
      <c r="P31" s="222">
        <f ca="1">IF(P30=0,0,P30/$P$24)</f>
        <v>0.18306636155606407</v>
      </c>
      <c r="Q31" s="211"/>
      <c r="R31" s="140"/>
      <c r="S31" s="178">
        <f>IF(S30=0,0,S30/$S$27)</f>
        <v>0.4</v>
      </c>
      <c r="T31" s="212"/>
      <c r="U31" s="178">
        <f>IF(U30=0,0,U30/$U$27)</f>
        <v>0.2857142857142857</v>
      </c>
      <c r="V31" s="145"/>
      <c r="W31" s="140"/>
      <c r="Y31" s="194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BG31" s="415"/>
      <c r="BH31" s="140"/>
      <c r="BI31" s="415"/>
      <c r="BK31" s="221"/>
      <c r="BL31" s="216"/>
      <c r="BM31" s="209"/>
      <c r="BN31" s="143"/>
      <c r="BO31" s="140"/>
      <c r="BP31" s="140"/>
      <c r="BQ31" s="140"/>
      <c r="BR31" s="406"/>
      <c r="BS31" s="140"/>
      <c r="BY31" s="134"/>
    </row>
    <row r="32" spans="1:77" ht="9.9499999999999993" customHeight="1">
      <c r="A32" s="134"/>
      <c r="J32" s="407"/>
      <c r="O32" s="217"/>
      <c r="P32" s="214"/>
      <c r="Q32" s="211"/>
      <c r="R32" s="140"/>
      <c r="S32" s="199"/>
      <c r="T32" s="143"/>
      <c r="U32" s="140"/>
      <c r="V32" s="140"/>
      <c r="W32" s="140"/>
      <c r="Y32" s="193"/>
      <c r="Z32" s="140"/>
      <c r="AA32" s="140"/>
      <c r="AB32" s="140"/>
      <c r="BG32" s="415"/>
      <c r="BH32" s="140"/>
      <c r="BI32" s="415"/>
      <c r="BK32" s="221"/>
      <c r="BL32" s="216"/>
      <c r="BM32" s="209"/>
      <c r="BN32" s="223"/>
      <c r="BO32" s="140"/>
      <c r="BP32" s="140"/>
      <c r="BQ32" s="140"/>
      <c r="BR32" s="406"/>
      <c r="BS32" s="140"/>
      <c r="BY32" s="134"/>
    </row>
    <row r="33" spans="1:77" ht="15" customHeight="1">
      <c r="A33" s="134"/>
      <c r="J33" s="407"/>
      <c r="O33" s="217"/>
      <c r="P33" s="218">
        <f ca="1">'Raw data &amp; Hourly Summary'!CR128</f>
        <v>107</v>
      </c>
      <c r="Q33" s="206"/>
      <c r="R33" s="140"/>
      <c r="S33" s="207">
        <f>'Raw data &amp; Hourly Summary'!CQ139</f>
        <v>35</v>
      </c>
      <c r="T33" s="220"/>
      <c r="U33" s="177">
        <f>'Raw data &amp; Hourly Summary'!CQ140</f>
        <v>20</v>
      </c>
      <c r="V33" s="140"/>
      <c r="W33" s="140"/>
      <c r="Y33" s="193">
        <v>18</v>
      </c>
      <c r="Z33" s="140"/>
      <c r="AA33" s="140"/>
      <c r="AB33" s="140"/>
      <c r="BG33" s="143" t="s">
        <v>30</v>
      </c>
      <c r="BH33" s="140"/>
      <c r="BI33" s="143" t="s">
        <v>30</v>
      </c>
      <c r="BK33" s="221"/>
      <c r="BL33" s="226">
        <f ca="1">'Raw data &amp; Hourly Summary'!CJ128</f>
        <v>10</v>
      </c>
      <c r="BM33" s="209"/>
      <c r="BN33" s="140"/>
      <c r="BO33" s="140"/>
      <c r="BP33" s="140"/>
      <c r="BQ33" s="140"/>
      <c r="BR33" s="406"/>
      <c r="BS33" s="140"/>
      <c r="BY33" s="134"/>
    </row>
    <row r="34" spans="1:77" ht="15" customHeight="1">
      <c r="A34" s="134"/>
      <c r="J34" s="407"/>
      <c r="O34" s="217"/>
      <c r="P34" s="222">
        <f ca="1">IF(P33=0,0,P33/$P$24)</f>
        <v>0.24485125858123569</v>
      </c>
      <c r="Q34" s="211"/>
      <c r="S34" s="178">
        <f>IF(S33=0,0,S33/$S$27)</f>
        <v>0.28000000000000003</v>
      </c>
      <c r="T34" s="212"/>
      <c r="U34" s="178">
        <f>IF(U33=0,0,U33/$U$27)</f>
        <v>0.15873015873015872</v>
      </c>
      <c r="V34" s="140"/>
      <c r="W34" s="140"/>
      <c r="Y34" s="194"/>
      <c r="Z34" s="140"/>
      <c r="AA34" s="140"/>
      <c r="AB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3" t="s">
        <v>31</v>
      </c>
      <c r="BH34" s="140"/>
      <c r="BI34" s="143" t="s">
        <v>31</v>
      </c>
      <c r="BK34" s="221"/>
      <c r="BL34" s="228">
        <f ca="1">IF(BL33=0,0,BL33/$BL$48)</f>
        <v>3.7425149700598802E-3</v>
      </c>
      <c r="BM34" s="209"/>
      <c r="BN34" s="143"/>
      <c r="BO34" s="140"/>
      <c r="BP34" s="140"/>
      <c r="BQ34" s="140"/>
      <c r="BR34" s="406"/>
      <c r="BS34" s="140"/>
      <c r="BY34" s="134"/>
    </row>
    <row r="35" spans="1:77" ht="9.9499999999999993" customHeight="1">
      <c r="A35" s="134"/>
      <c r="J35" s="407"/>
      <c r="O35" s="217"/>
      <c r="P35" s="214"/>
      <c r="Q35" s="211"/>
      <c r="S35" s="223"/>
      <c r="T35" s="223"/>
      <c r="U35" s="223"/>
      <c r="V35" s="140"/>
      <c r="W35" s="140"/>
      <c r="Y35" s="193"/>
      <c r="Z35" s="140"/>
      <c r="AA35" s="140"/>
      <c r="AB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K35" s="221"/>
      <c r="BL35" s="216"/>
      <c r="BM35" s="209"/>
      <c r="BN35" s="140"/>
      <c r="BO35" s="140"/>
      <c r="BP35" s="140"/>
      <c r="BQ35" s="140"/>
      <c r="BR35" s="406"/>
      <c r="BS35" s="140"/>
      <c r="BY35" s="134"/>
    </row>
    <row r="36" spans="1:77" ht="15" customHeight="1">
      <c r="A36" s="134"/>
      <c r="J36" s="407"/>
      <c r="O36" s="229"/>
      <c r="P36" s="218">
        <f ca="1">'Raw data &amp; Hourly Summary'!CS128</f>
        <v>110</v>
      </c>
      <c r="Q36" s="206"/>
      <c r="R36" s="140"/>
      <c r="S36" s="177">
        <f>'Raw data &amp; Hourly Summary'!CR139</f>
        <v>24</v>
      </c>
      <c r="T36" s="220"/>
      <c r="U36" s="177">
        <f>'Raw data &amp; Hourly Summary'!CR140</f>
        <v>37</v>
      </c>
      <c r="V36" s="140"/>
      <c r="W36" s="140"/>
      <c r="Y36" s="193">
        <v>19</v>
      </c>
      <c r="Z36" s="140"/>
      <c r="AA36" s="140"/>
      <c r="AB36" s="140"/>
      <c r="AX36" s="140"/>
      <c r="AY36" s="140"/>
      <c r="AZ36" s="140"/>
      <c r="BA36" s="140"/>
      <c r="BB36" s="140"/>
      <c r="BC36" s="193" t="s">
        <v>86</v>
      </c>
      <c r="BD36" s="140"/>
      <c r="BE36" s="140"/>
      <c r="BF36" s="140"/>
      <c r="BG36" s="177">
        <f>'Raw data &amp; Hourly Summary'!CJ139</f>
        <v>2</v>
      </c>
      <c r="BH36" s="220"/>
      <c r="BI36" s="177">
        <f>'Raw data &amp; Hourly Summary'!CJ140</f>
        <v>5</v>
      </c>
      <c r="BK36" s="225"/>
      <c r="BL36" s="226">
        <f ca="1">'Raw data &amp; Hourly Summary'!CI128</f>
        <v>156</v>
      </c>
      <c r="BM36" s="209"/>
      <c r="BN36" s="140"/>
      <c r="BO36" s="140"/>
      <c r="BP36" s="140"/>
      <c r="BQ36" s="140"/>
      <c r="BR36" s="406"/>
      <c r="BS36" s="140"/>
      <c r="BY36" s="134"/>
    </row>
    <row r="37" spans="1:77" ht="15" customHeight="1">
      <c r="A37" s="134"/>
      <c r="J37" s="407"/>
      <c r="O37" s="229"/>
      <c r="P37" s="222">
        <f ca="1">IF(P36=0,0,P36/$P$24)</f>
        <v>0.25171624713958812</v>
      </c>
      <c r="Q37" s="211"/>
      <c r="R37" s="195"/>
      <c r="S37" s="178">
        <f>IF(S36=0,0,S36/$S$27)</f>
        <v>0.192</v>
      </c>
      <c r="T37" s="212"/>
      <c r="U37" s="178">
        <f>IF(U36=0,0,U36/$U$27)</f>
        <v>0.29365079365079366</v>
      </c>
      <c r="V37" s="140"/>
      <c r="W37" s="140"/>
      <c r="Y37" s="193"/>
      <c r="Z37" s="193"/>
      <c r="AA37" s="193"/>
      <c r="AB37" s="140"/>
      <c r="AX37" s="140"/>
      <c r="AY37" s="140"/>
      <c r="AZ37" s="140"/>
      <c r="BA37" s="140"/>
      <c r="BB37" s="140"/>
      <c r="BC37" s="194"/>
      <c r="BD37" s="140"/>
      <c r="BE37" s="140"/>
      <c r="BF37" s="140"/>
      <c r="BG37" s="178">
        <f>IF(BG36=0,0,BG36/$BG$51)</f>
        <v>4.6296296296296294E-3</v>
      </c>
      <c r="BH37" s="180"/>
      <c r="BI37" s="178">
        <f>IF(BI36=0,0,BI36/$BI$51)</f>
        <v>6.5359477124183009E-3</v>
      </c>
      <c r="BK37" s="227"/>
      <c r="BL37" s="228">
        <f ca="1">IF(BL36=0,0,BL36/$BL$48)</f>
        <v>5.8383233532934134E-2</v>
      </c>
      <c r="BM37" s="209"/>
      <c r="BN37" s="224"/>
      <c r="BO37" s="140"/>
      <c r="BP37" s="140"/>
      <c r="BQ37" s="140"/>
      <c r="BR37" s="406"/>
      <c r="BS37" s="140"/>
      <c r="BY37" s="134"/>
    </row>
    <row r="38" spans="1:77" ht="9.9499999999999993" customHeight="1">
      <c r="A38" s="134"/>
      <c r="J38" s="407"/>
      <c r="O38" s="217"/>
      <c r="P38" s="214"/>
      <c r="Q38" s="211"/>
      <c r="R38" s="212"/>
      <c r="S38" s="223"/>
      <c r="T38" s="223"/>
      <c r="U38" s="223"/>
      <c r="V38" s="140"/>
      <c r="W38" s="140"/>
      <c r="Y38" s="194"/>
      <c r="Z38" s="194"/>
      <c r="AA38" s="194"/>
      <c r="AB38" s="140"/>
      <c r="AX38" s="140"/>
      <c r="AY38" s="140"/>
      <c r="AZ38" s="140"/>
      <c r="BA38" s="140"/>
      <c r="BB38" s="140"/>
      <c r="BC38" s="193"/>
      <c r="BD38" s="140"/>
      <c r="BE38" s="140"/>
      <c r="BF38" s="140"/>
      <c r="BK38" s="221"/>
      <c r="BL38" s="216"/>
      <c r="BM38" s="209"/>
      <c r="BN38" s="143"/>
      <c r="BO38" s="140"/>
      <c r="BP38" s="140"/>
      <c r="BQ38" s="140"/>
      <c r="BR38" s="406"/>
      <c r="BS38" s="140"/>
      <c r="BY38" s="134"/>
    </row>
    <row r="39" spans="1:77" ht="15" customHeight="1">
      <c r="A39" s="134"/>
      <c r="I39" s="143"/>
      <c r="J39" s="407"/>
      <c r="N39" s="140"/>
      <c r="O39" s="217"/>
      <c r="P39" s="218">
        <f ca="1">'Raw data &amp; Hourly Summary'!CT128</f>
        <v>1</v>
      </c>
      <c r="Q39" s="211"/>
      <c r="R39" s="215"/>
      <c r="S39" s="177">
        <f>'Raw data &amp; Hourly Summary'!CS139</f>
        <v>16</v>
      </c>
      <c r="T39" s="220"/>
      <c r="U39" s="177">
        <f>'Raw data &amp; Hourly Summary'!CS140</f>
        <v>33</v>
      </c>
      <c r="V39" s="140"/>
      <c r="W39" s="140"/>
      <c r="Y39" s="193">
        <v>20</v>
      </c>
      <c r="Z39" s="193"/>
      <c r="AA39" s="193"/>
      <c r="AB39" s="140"/>
      <c r="AH39" s="300"/>
      <c r="AI39" s="301"/>
      <c r="AJ39" s="301"/>
      <c r="AK39" s="301"/>
      <c r="AL39" s="302"/>
      <c r="AM39" s="302"/>
      <c r="AN39" s="301"/>
      <c r="AO39" s="301"/>
      <c r="AP39" s="301"/>
      <c r="AQ39" s="301"/>
      <c r="AR39" s="301"/>
      <c r="AS39" s="301"/>
      <c r="AT39" s="301"/>
      <c r="AU39" s="303"/>
      <c r="AX39" s="140"/>
      <c r="AY39" s="140"/>
      <c r="AZ39" s="140"/>
      <c r="BA39" s="140"/>
      <c r="BB39" s="140"/>
      <c r="BC39" s="193">
        <v>12</v>
      </c>
      <c r="BD39" s="140"/>
      <c r="BE39" s="140"/>
      <c r="BF39" s="140"/>
      <c r="BG39" s="177">
        <f>'Raw data &amp; Hourly Summary'!CI139</f>
        <v>59</v>
      </c>
      <c r="BH39" s="220"/>
      <c r="BI39" s="177">
        <f>'Raw data &amp; Hourly Summary'!CI140</f>
        <v>46</v>
      </c>
      <c r="BJ39" s="140"/>
      <c r="BK39" s="225"/>
      <c r="BL39" s="226">
        <f ca="1">'Raw data &amp; Hourly Summary'!CH128</f>
        <v>123</v>
      </c>
      <c r="BM39" s="209"/>
      <c r="BN39" s="143"/>
      <c r="BO39" s="140"/>
      <c r="BP39" s="140"/>
      <c r="BQ39" s="140"/>
      <c r="BR39" s="406"/>
      <c r="BS39" s="140"/>
      <c r="BY39" s="134"/>
    </row>
    <row r="40" spans="1:77" ht="15" customHeight="1">
      <c r="A40" s="134"/>
      <c r="I40" s="140"/>
      <c r="J40" s="407"/>
      <c r="N40" s="201"/>
      <c r="O40" s="217"/>
      <c r="P40" s="222">
        <f ca="1">IF(P39=0,0,P39/$P$24)</f>
        <v>2.2883295194508009E-3</v>
      </c>
      <c r="Q40" s="211"/>
      <c r="R40" s="219"/>
      <c r="S40" s="178">
        <f>IF(S39=0,0,S39/$S$27)</f>
        <v>0.128</v>
      </c>
      <c r="T40" s="212"/>
      <c r="U40" s="178">
        <f>IF(U39=0,0,U39/$U$27)</f>
        <v>0.26190476190476192</v>
      </c>
      <c r="V40" s="140"/>
      <c r="W40" s="140"/>
      <c r="X40" s="140"/>
      <c r="Y40" s="140"/>
      <c r="Z40" s="193"/>
      <c r="AA40" s="193"/>
      <c r="AB40" s="140"/>
      <c r="AH40" s="304"/>
      <c r="AJ40" s="137" t="s">
        <v>28</v>
      </c>
      <c r="AK40" s="140"/>
      <c r="AN40" s="411">
        <f>'Peak Hr Summary'!B16</f>
        <v>0.34375000749999979</v>
      </c>
      <c r="AO40" s="411"/>
      <c r="AP40" s="140"/>
      <c r="AQ40" s="223" t="s">
        <v>9</v>
      </c>
      <c r="AS40" s="305">
        <f>AN40+"1:00"</f>
        <v>0.38541667416666647</v>
      </c>
      <c r="AT40" s="305"/>
      <c r="AU40" s="306"/>
      <c r="AX40" s="140"/>
      <c r="AY40" s="140"/>
      <c r="AZ40" s="140"/>
      <c r="BA40" s="140"/>
      <c r="BB40" s="140"/>
      <c r="BC40" s="194"/>
      <c r="BD40" s="140"/>
      <c r="BE40" s="140"/>
      <c r="BF40" s="140"/>
      <c r="BG40" s="178">
        <f>IF(BG39=0,0,BG39/$BG$51)</f>
        <v>0.13657407407407407</v>
      </c>
      <c r="BH40" s="180"/>
      <c r="BI40" s="178">
        <f>IF(BI39=0,0,BI39/$BI$51)</f>
        <v>6.0130718954248367E-2</v>
      </c>
      <c r="BJ40" s="142"/>
      <c r="BK40" s="227"/>
      <c r="BL40" s="228">
        <f ca="1">IF(BL39=0,0,BL39/$BL$48)</f>
        <v>4.6032934131736529E-2</v>
      </c>
      <c r="BM40" s="209"/>
      <c r="BN40" s="143"/>
      <c r="BO40" s="140"/>
      <c r="BP40" s="140"/>
      <c r="BQ40" s="140"/>
      <c r="BR40" s="406"/>
      <c r="BS40" s="140"/>
      <c r="BY40" s="134"/>
    </row>
    <row r="41" spans="1:77" ht="9.9499999999999993" customHeight="1">
      <c r="A41" s="134"/>
      <c r="I41" s="140"/>
      <c r="J41" s="407"/>
      <c r="N41" s="176"/>
      <c r="O41" s="217"/>
      <c r="P41" s="214"/>
      <c r="Q41" s="211"/>
      <c r="R41" s="215"/>
      <c r="S41" s="143"/>
      <c r="T41" s="143"/>
      <c r="U41" s="140"/>
      <c r="V41" s="140"/>
      <c r="W41" s="140"/>
      <c r="X41" s="140"/>
      <c r="Y41" s="140"/>
      <c r="Z41" s="194"/>
      <c r="AA41" s="194"/>
      <c r="AB41" s="140"/>
      <c r="AH41" s="304"/>
      <c r="AJ41" s="140"/>
      <c r="AK41" s="140"/>
      <c r="AN41" s="140"/>
      <c r="AO41" s="140"/>
      <c r="AP41" s="140"/>
      <c r="AQ41" s="223"/>
      <c r="AS41" s="307"/>
      <c r="AT41" s="307"/>
      <c r="AU41" s="306"/>
      <c r="AX41" s="140"/>
      <c r="AY41" s="143"/>
      <c r="AZ41" s="140"/>
      <c r="BA41" s="140"/>
      <c r="BB41" s="140"/>
      <c r="BC41" s="193"/>
      <c r="BD41" s="140"/>
      <c r="BE41" s="140"/>
      <c r="BF41" s="140"/>
      <c r="BG41" s="143"/>
      <c r="BH41" s="223"/>
      <c r="BI41" s="143"/>
      <c r="BJ41" s="179"/>
      <c r="BK41" s="221"/>
      <c r="BL41" s="216"/>
      <c r="BM41" s="209"/>
      <c r="BN41" s="143"/>
      <c r="BO41" s="140"/>
      <c r="BP41" s="140"/>
      <c r="BQ41" s="140"/>
      <c r="BR41" s="406"/>
      <c r="BS41" s="140"/>
      <c r="BY41" s="134"/>
    </row>
    <row r="42" spans="1:77" ht="15" customHeight="1">
      <c r="A42" s="134"/>
      <c r="I42" s="140"/>
      <c r="J42" s="407"/>
      <c r="N42" s="176"/>
      <c r="O42" s="229"/>
      <c r="P42" s="214"/>
      <c r="Q42" s="211"/>
      <c r="R42" s="199"/>
      <c r="S42" s="177">
        <f>'Raw data &amp; Hourly Summary'!CT139</f>
        <v>0</v>
      </c>
      <c r="T42" s="220"/>
      <c r="U42" s="177">
        <f>'Raw data &amp; Hourly Summary'!CT140</f>
        <v>0</v>
      </c>
      <c r="V42" s="140"/>
      <c r="W42" s="140"/>
      <c r="X42" s="140"/>
      <c r="Y42" s="193" t="s">
        <v>88</v>
      </c>
      <c r="Z42" s="193"/>
      <c r="AA42" s="193"/>
      <c r="AB42" s="140"/>
      <c r="AH42" s="304"/>
      <c r="AJ42" s="137" t="s">
        <v>29</v>
      </c>
      <c r="AK42" s="140"/>
      <c r="AN42" s="411">
        <f>'Peak Hr Summary'!B17</f>
        <v>0.67708333916666685</v>
      </c>
      <c r="AO42" s="411"/>
      <c r="AP42" s="140"/>
      <c r="AQ42" s="223" t="s">
        <v>9</v>
      </c>
      <c r="AS42" s="305">
        <f>AN42+"1:00"</f>
        <v>0.71875000583333348</v>
      </c>
      <c r="AT42" s="305"/>
      <c r="AU42" s="306"/>
      <c r="AY42" s="143"/>
      <c r="AZ42" s="140"/>
      <c r="BA42" s="140"/>
      <c r="BB42" s="140"/>
      <c r="BC42" s="193">
        <v>11</v>
      </c>
      <c r="BD42" s="140"/>
      <c r="BE42" s="140"/>
      <c r="BF42" s="140"/>
      <c r="BG42" s="177">
        <f>'Raw data &amp; Hourly Summary'!CH139</f>
        <v>11</v>
      </c>
      <c r="BH42" s="220"/>
      <c r="BI42" s="177">
        <f>'Raw data &amp; Hourly Summary'!CH140</f>
        <v>31</v>
      </c>
      <c r="BJ42" s="176"/>
      <c r="BK42" s="225"/>
      <c r="BL42" s="226">
        <f ca="1">'Raw data &amp; Hourly Summary'!CG128</f>
        <v>2071</v>
      </c>
      <c r="BM42" s="209"/>
      <c r="BN42" s="143"/>
      <c r="BO42" s="140"/>
      <c r="BP42" s="140"/>
      <c r="BQ42" s="140"/>
      <c r="BR42" s="406"/>
      <c r="BS42" s="140"/>
      <c r="BY42" s="134"/>
    </row>
    <row r="43" spans="1:77" ht="15" customHeight="1">
      <c r="A43" s="134"/>
      <c r="I43" s="140"/>
      <c r="J43" s="407"/>
      <c r="N43" s="143"/>
      <c r="O43" s="229"/>
      <c r="P43" s="214"/>
      <c r="Q43" s="211"/>
      <c r="R43" s="195"/>
      <c r="S43" s="178">
        <f>IF(S42=0,0,S42/$S$27)</f>
        <v>0</v>
      </c>
      <c r="T43" s="212"/>
      <c r="U43" s="178">
        <f>IF(U42=0,0,U42/$U$27)</f>
        <v>0</v>
      </c>
      <c r="V43" s="140"/>
      <c r="W43" s="140"/>
      <c r="X43" s="140"/>
      <c r="Y43" s="140"/>
      <c r="Z43" s="193"/>
      <c r="AA43" s="193"/>
      <c r="AB43" s="140"/>
      <c r="AH43" s="308"/>
      <c r="AI43" s="309"/>
      <c r="AJ43" s="309"/>
      <c r="AK43" s="309"/>
      <c r="AL43" s="310"/>
      <c r="AM43" s="310"/>
      <c r="AN43" s="309"/>
      <c r="AO43" s="309"/>
      <c r="AP43" s="309"/>
      <c r="AQ43" s="309"/>
      <c r="AR43" s="309"/>
      <c r="AS43" s="309"/>
      <c r="AT43" s="309"/>
      <c r="AU43" s="311"/>
      <c r="AX43" s="140"/>
      <c r="AY43" s="143"/>
      <c r="AZ43" s="140"/>
      <c r="BA43" s="140"/>
      <c r="BB43" s="140"/>
      <c r="BC43" s="193"/>
      <c r="BG43" s="178">
        <f>IF(BG42=0,0,BG42/$BG$51)</f>
        <v>2.5462962962962962E-2</v>
      </c>
      <c r="BH43" s="180"/>
      <c r="BI43" s="178">
        <f>IF(BI42=0,0,BI42/$BI$51)</f>
        <v>4.0522875816993466E-2</v>
      </c>
      <c r="BK43" s="221"/>
      <c r="BL43" s="228">
        <f ca="1">IF(BL42=0,0,BL42/$BL$48)</f>
        <v>0.77507485029940115</v>
      </c>
      <c r="BM43" s="209"/>
      <c r="BN43" s="143"/>
      <c r="BO43" s="140"/>
      <c r="BP43" s="140"/>
      <c r="BQ43" s="140"/>
      <c r="BR43" s="406"/>
      <c r="BS43" s="140"/>
      <c r="BY43" s="134"/>
    </row>
    <row r="44" spans="1:77" ht="9.9499999999999993" customHeight="1">
      <c r="A44" s="134"/>
      <c r="I44" s="140"/>
      <c r="J44" s="407"/>
      <c r="N44" s="143"/>
      <c r="O44" s="217"/>
      <c r="P44" s="214"/>
      <c r="Q44" s="211"/>
      <c r="R44" s="140"/>
      <c r="V44" s="140"/>
      <c r="W44" s="140"/>
      <c r="X44" s="140"/>
      <c r="Y44" s="140"/>
      <c r="Z44" s="193"/>
      <c r="AA44" s="193"/>
      <c r="AB44" s="140"/>
      <c r="AX44" s="140"/>
      <c r="AY44" s="290"/>
      <c r="AZ44" s="140"/>
      <c r="BA44" s="140"/>
      <c r="BB44" s="140"/>
      <c r="BC44" s="194"/>
      <c r="BG44" s="143"/>
      <c r="BH44" s="223"/>
      <c r="BI44" s="143"/>
      <c r="BK44" s="221"/>
      <c r="BL44" s="216"/>
      <c r="BM44" s="209"/>
      <c r="BN44" s="143"/>
      <c r="BO44" s="140"/>
      <c r="BP44" s="140"/>
      <c r="BQ44" s="140"/>
      <c r="BR44" s="406"/>
      <c r="BS44" s="140"/>
      <c r="BY44" s="134"/>
    </row>
    <row r="45" spans="1:77" ht="15" customHeight="1">
      <c r="A45" s="134"/>
      <c r="I45" s="140"/>
      <c r="J45" s="407"/>
      <c r="N45" s="143"/>
      <c r="O45" s="229"/>
      <c r="P45" s="214"/>
      <c r="Q45" s="211"/>
      <c r="R45" s="140"/>
      <c r="S45" s="415" t="s">
        <v>28</v>
      </c>
      <c r="T45" s="140"/>
      <c r="U45" s="415" t="s">
        <v>29</v>
      </c>
      <c r="V45" s="140"/>
      <c r="W45" s="140"/>
      <c r="X45" s="140"/>
      <c r="Y45" s="140"/>
      <c r="Z45" s="194"/>
      <c r="AA45" s="194"/>
      <c r="AB45" s="140"/>
      <c r="AX45" s="140"/>
      <c r="AY45" s="290"/>
      <c r="AZ45" s="140"/>
      <c r="BA45" s="140"/>
      <c r="BB45" s="140"/>
      <c r="BC45" s="193">
        <v>10</v>
      </c>
      <c r="BG45" s="177">
        <f>'Raw data &amp; Hourly Summary'!CG139</f>
        <v>308</v>
      </c>
      <c r="BH45" s="220"/>
      <c r="BI45" s="177">
        <f>'Raw data &amp; Hourly Summary'!CG140</f>
        <v>598</v>
      </c>
      <c r="BK45" s="230"/>
      <c r="BL45" s="226">
        <f ca="1">'Raw data &amp; Hourly Summary'!CF128</f>
        <v>312</v>
      </c>
      <c r="BM45" s="209"/>
      <c r="BN45" s="143"/>
      <c r="BO45" s="140"/>
      <c r="BP45" s="140"/>
      <c r="BQ45" s="140"/>
      <c r="BR45" s="406"/>
      <c r="BS45" s="140"/>
      <c r="BY45" s="134"/>
    </row>
    <row r="46" spans="1:77" ht="15" customHeight="1">
      <c r="A46" s="134"/>
      <c r="I46" s="140"/>
      <c r="J46" s="407"/>
      <c r="N46" s="143"/>
      <c r="O46" s="217"/>
      <c r="P46" s="214"/>
      <c r="Q46" s="211"/>
      <c r="R46" s="219"/>
      <c r="S46" s="416"/>
      <c r="T46" s="140"/>
      <c r="U46" s="417"/>
      <c r="V46" s="140"/>
      <c r="W46" s="140"/>
      <c r="X46" s="140"/>
      <c r="Y46" s="140"/>
      <c r="Z46" s="193"/>
      <c r="AA46" s="193"/>
      <c r="AB46" s="140"/>
      <c r="AX46" s="140"/>
      <c r="AY46" s="140"/>
      <c r="AZ46" s="140"/>
      <c r="BA46" s="140"/>
      <c r="BB46" s="140"/>
      <c r="BC46" s="140"/>
      <c r="BE46" s="143"/>
      <c r="BF46" s="249"/>
      <c r="BG46" s="178">
        <f>IF(BG45=0,0,BG45/$BG$51)</f>
        <v>0.71296296296296291</v>
      </c>
      <c r="BH46" s="180"/>
      <c r="BI46" s="178">
        <f>IF(BI45=0,0,BI45/$BI$51)</f>
        <v>0.78169934640522876</v>
      </c>
      <c r="BJ46" s="140"/>
      <c r="BK46" s="221"/>
      <c r="BL46" s="228">
        <f ca="1">IF(BL45=0,0,BL45/$BL$48)</f>
        <v>0.11676646706586827</v>
      </c>
      <c r="BM46" s="209"/>
      <c r="BN46" s="143"/>
      <c r="BO46" s="140"/>
      <c r="BP46" s="140"/>
      <c r="BQ46" s="140"/>
      <c r="BR46" s="406"/>
      <c r="BS46" s="140"/>
      <c r="BY46" s="134"/>
    </row>
    <row r="47" spans="1:77" ht="9.9499999999999993" customHeight="1">
      <c r="A47" s="134"/>
      <c r="I47" s="140"/>
      <c r="J47" s="407"/>
      <c r="N47" s="143"/>
      <c r="O47" s="217"/>
      <c r="P47" s="214"/>
      <c r="Q47" s="211"/>
      <c r="R47" s="199"/>
      <c r="S47" s="416"/>
      <c r="T47" s="143"/>
      <c r="U47" s="417"/>
      <c r="V47" s="140"/>
      <c r="W47" s="140"/>
      <c r="X47" s="140"/>
      <c r="Y47" s="140"/>
      <c r="Z47" s="140"/>
      <c r="AA47" s="140"/>
      <c r="AB47" s="140"/>
      <c r="AX47" s="140"/>
      <c r="AY47" s="140"/>
      <c r="AZ47" s="140"/>
      <c r="BA47" s="140"/>
      <c r="BB47" s="140"/>
      <c r="BC47" s="140"/>
      <c r="BE47" s="143"/>
      <c r="BF47" s="249"/>
      <c r="BG47" s="143"/>
      <c r="BH47" s="223"/>
      <c r="BI47" s="143"/>
      <c r="BJ47" s="140"/>
      <c r="BK47" s="221"/>
      <c r="BL47" s="216"/>
      <c r="BM47" s="209"/>
      <c r="BN47" s="143"/>
      <c r="BO47" s="140"/>
      <c r="BP47" s="140"/>
      <c r="BQ47" s="140"/>
      <c r="BR47" s="406"/>
      <c r="BS47" s="140"/>
      <c r="BY47" s="134"/>
    </row>
    <row r="48" spans="1:77" ht="15" customHeight="1">
      <c r="A48" s="134"/>
      <c r="H48" s="289"/>
      <c r="I48" s="140"/>
      <c r="J48" s="407"/>
      <c r="M48" s="144" t="s">
        <v>8</v>
      </c>
      <c r="N48" s="143"/>
      <c r="O48" s="205"/>
      <c r="P48" s="155">
        <f ca="1">'Raw data &amp; Hourly Summary'!CE131</f>
        <v>498</v>
      </c>
      <c r="Q48" s="211"/>
      <c r="R48" s="143"/>
      <c r="S48" s="143" t="s">
        <v>30</v>
      </c>
      <c r="T48" s="140"/>
      <c r="U48" s="143" t="s">
        <v>30</v>
      </c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93">
        <v>9</v>
      </c>
      <c r="BE48" s="140"/>
      <c r="BF48" s="140"/>
      <c r="BG48" s="177">
        <f>'Raw data &amp; Hourly Summary'!CF139</f>
        <v>52</v>
      </c>
      <c r="BH48" s="220"/>
      <c r="BI48" s="177">
        <f>'Raw data &amp; Hourly Summary'!CF140</f>
        <v>85</v>
      </c>
      <c r="BJ48" s="140"/>
      <c r="BK48" s="208"/>
      <c r="BL48" s="155">
        <f ca="1">'Raw data &amp; Hourly Summary'!BZ131</f>
        <v>2672</v>
      </c>
      <c r="BM48" s="209"/>
      <c r="BN48" s="143"/>
      <c r="BO48" s="144" t="s">
        <v>8</v>
      </c>
      <c r="BP48" s="140"/>
      <c r="BQ48" s="140"/>
      <c r="BR48" s="406"/>
      <c r="BS48" s="140"/>
      <c r="BT48" s="289"/>
      <c r="BY48" s="134"/>
    </row>
    <row r="49" spans="1:77" ht="15" customHeight="1">
      <c r="A49" s="134"/>
      <c r="H49" s="289"/>
      <c r="I49" s="140"/>
      <c r="M49" s="147" t="s">
        <v>70</v>
      </c>
      <c r="N49" s="143"/>
      <c r="O49" s="205"/>
      <c r="P49" s="165">
        <f ca="1">IF(P48=0,0,P48/IF(COUNTA('Raw data &amp; Hourly Summary'!$BQ$139:$BQ$152)&gt;='Raw data &amp; Hourly Summary'!$BQ$128,'Raw data &amp; Hourly Summary'!CE134,'Raw data &amp; Hourly Summary'!CE135))</f>
        <v>1</v>
      </c>
      <c r="Q49" s="211"/>
      <c r="R49" s="195"/>
      <c r="S49" s="143" t="s">
        <v>31</v>
      </c>
      <c r="T49" s="140"/>
      <c r="U49" s="143" t="s">
        <v>31</v>
      </c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93"/>
      <c r="BE49" s="140"/>
      <c r="BF49" s="249"/>
      <c r="BG49" s="178">
        <f>IF(BG48=0,0,BG48/$BG$51)</f>
        <v>0.12037037037037036</v>
      </c>
      <c r="BH49" s="180"/>
      <c r="BI49" s="178">
        <f>IF(BI48=0,0,BI48/$BI$51)</f>
        <v>0.1111111111111111</v>
      </c>
      <c r="BJ49" s="140"/>
      <c r="BK49" s="231"/>
      <c r="BL49" s="165">
        <f ca="1">IF(BL48=0,0,BL48/IF(COUNTA('Raw data &amp; Hourly Summary'!$BQ$139:$BQ$152)&gt;='Raw data &amp; Hourly Summary'!$BQ$128,'Raw data &amp; Hourly Summary'!BZ134,'Raw data &amp; Hourly Summary'!BZ135))</f>
        <v>1</v>
      </c>
      <c r="BM49" s="209"/>
      <c r="BN49" s="143"/>
      <c r="BO49" s="147" t="s">
        <v>69</v>
      </c>
      <c r="BP49" s="143"/>
      <c r="BQ49" s="143"/>
      <c r="BR49" s="140"/>
      <c r="BS49" s="140"/>
      <c r="BT49" s="289"/>
      <c r="BY49" s="134"/>
    </row>
    <row r="50" spans="1:77" ht="9.9499999999999993" customHeight="1" thickBot="1">
      <c r="A50" s="134"/>
      <c r="H50" s="289"/>
      <c r="I50" s="140"/>
      <c r="N50" s="143"/>
      <c r="O50" s="232"/>
      <c r="P50" s="233"/>
      <c r="Q50" s="234"/>
      <c r="R50" s="140"/>
      <c r="S50" s="143"/>
      <c r="T50" s="143"/>
      <c r="U50" s="143"/>
      <c r="V50" s="140"/>
      <c r="W50" s="140"/>
      <c r="X50" s="140"/>
      <c r="Y50" s="140"/>
      <c r="Z50" s="140"/>
      <c r="AA50" s="140"/>
      <c r="AB50" s="140"/>
      <c r="AC50" s="140"/>
      <c r="AD50" s="140"/>
      <c r="AE50" s="143"/>
      <c r="AF50" s="143"/>
      <c r="AG50" s="140"/>
      <c r="AH50" s="143"/>
      <c r="AI50" s="143"/>
      <c r="AJ50" s="143"/>
      <c r="AK50" s="143"/>
      <c r="AL50" s="143"/>
      <c r="AM50" s="143"/>
      <c r="AN50" s="143"/>
      <c r="AO50" s="143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94"/>
      <c r="BE50" s="140"/>
      <c r="BF50" s="249"/>
      <c r="BG50" s="143"/>
      <c r="BH50" s="223"/>
      <c r="BI50" s="143"/>
      <c r="BJ50" s="140"/>
      <c r="BK50" s="235"/>
      <c r="BL50" s="236"/>
      <c r="BM50" s="237"/>
      <c r="BN50" s="224"/>
      <c r="BS50" s="140"/>
      <c r="BT50" s="289"/>
      <c r="BY50" s="134"/>
    </row>
    <row r="51" spans="1:77" ht="15" customHeight="1">
      <c r="A51" s="134"/>
      <c r="H51" s="289"/>
      <c r="I51" s="140"/>
      <c r="N51" s="143"/>
      <c r="O51" s="143"/>
      <c r="P51" s="140"/>
      <c r="Q51" s="140"/>
      <c r="R51" s="143"/>
      <c r="S51" s="155">
        <f>'Raw data &amp; Hourly Summary'!CE132</f>
        <v>58</v>
      </c>
      <c r="T51" s="140"/>
      <c r="U51" s="155">
        <f>'Raw data &amp; Hourly Summary'!CE133</f>
        <v>131</v>
      </c>
      <c r="V51" s="140"/>
      <c r="W51" s="140"/>
      <c r="X51" s="140"/>
      <c r="Y51" s="140"/>
      <c r="Z51" s="140"/>
      <c r="AA51" s="140"/>
      <c r="AB51" s="140"/>
      <c r="AC51" s="140"/>
      <c r="AD51" s="140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93"/>
      <c r="BE51" s="140"/>
      <c r="BF51" s="140"/>
      <c r="BG51" s="155">
        <f>'Raw data &amp; Hourly Summary'!BZ132</f>
        <v>432</v>
      </c>
      <c r="BH51" s="220"/>
      <c r="BI51" s="155">
        <f>'Raw data &amp; Hourly Summary'!BZ133</f>
        <v>765</v>
      </c>
      <c r="BJ51" s="140"/>
      <c r="BK51" s="143"/>
      <c r="BL51" s="140"/>
      <c r="BM51" s="140"/>
      <c r="BN51" s="143"/>
      <c r="BS51" s="140"/>
      <c r="BT51" s="289"/>
      <c r="BY51" s="134"/>
    </row>
    <row r="52" spans="1:77" ht="15" customHeight="1">
      <c r="A52" s="134"/>
      <c r="H52" s="289"/>
      <c r="I52" s="140"/>
      <c r="N52" s="143"/>
      <c r="O52" s="143"/>
      <c r="P52" s="285"/>
      <c r="Q52" s="140"/>
      <c r="R52" s="143"/>
      <c r="S52" s="166">
        <f>IF(S51=0,0,S51/'Raw data &amp; Hourly Summary'!CE134)</f>
        <v>0.40277777777777779</v>
      </c>
      <c r="T52" s="212"/>
      <c r="U52" s="166">
        <f>IF(U51=0,0,U51/'Raw data &amp; Hourly Summary'!CE135)</f>
        <v>0.26305220883534136</v>
      </c>
      <c r="V52" s="140"/>
      <c r="W52" s="140"/>
      <c r="X52" s="140"/>
      <c r="Y52" s="140"/>
      <c r="Z52" s="140"/>
      <c r="AA52" s="140"/>
      <c r="AB52" s="140"/>
      <c r="AC52" s="140"/>
      <c r="AD52" s="140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93"/>
      <c r="BE52" s="140"/>
      <c r="BF52" s="140"/>
      <c r="BG52" s="166">
        <f>IF(BG51=0,0,BG51/'Raw data &amp; Hourly Summary'!BZ134)</f>
        <v>0.38297872340425532</v>
      </c>
      <c r="BH52" s="180"/>
      <c r="BI52" s="166">
        <f>IF(BI51=0,0,BI51/'Raw data &amp; Hourly Summary'!BZ135)</f>
        <v>0.28630239520958084</v>
      </c>
      <c r="BJ52" s="220"/>
      <c r="BK52" s="195"/>
      <c r="BL52" s="285"/>
      <c r="BM52" s="140"/>
      <c r="BN52" s="143"/>
      <c r="BS52" s="140"/>
      <c r="BT52" s="289"/>
      <c r="BY52" s="134"/>
    </row>
    <row r="53" spans="1:77" ht="9.9499999999999993" customHeight="1">
      <c r="A53" s="134"/>
      <c r="H53" s="289"/>
      <c r="I53" s="140"/>
      <c r="N53" s="143"/>
      <c r="O53" s="143"/>
      <c r="P53" s="286"/>
      <c r="Q53" s="140"/>
      <c r="R53" s="143"/>
      <c r="S53" s="291"/>
      <c r="T53" s="140"/>
      <c r="U53" s="291"/>
      <c r="V53" s="140"/>
      <c r="W53" s="140"/>
      <c r="X53" s="140"/>
      <c r="Y53" s="140"/>
      <c r="Z53" s="140"/>
      <c r="AA53" s="140"/>
      <c r="AB53" s="140"/>
      <c r="AC53" s="140"/>
      <c r="AD53" s="140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93"/>
      <c r="BE53" s="140"/>
      <c r="BF53" s="249"/>
      <c r="BG53" s="287"/>
      <c r="BH53" s="180"/>
      <c r="BI53" s="287"/>
      <c r="BJ53" s="180"/>
      <c r="BK53" s="140"/>
      <c r="BL53" s="286"/>
      <c r="BM53" s="140"/>
      <c r="BN53" s="143"/>
      <c r="BS53" s="140"/>
      <c r="BT53" s="289"/>
      <c r="BY53" s="134"/>
    </row>
    <row r="54" spans="1:77" ht="9.75" customHeight="1">
      <c r="A54" s="134"/>
      <c r="H54" s="289"/>
      <c r="I54" s="140"/>
      <c r="N54" s="143"/>
      <c r="O54" s="143"/>
      <c r="P54" s="140"/>
      <c r="Q54" s="140"/>
      <c r="R54" s="143"/>
      <c r="S54" s="291"/>
      <c r="T54" s="143"/>
      <c r="U54" s="291"/>
      <c r="V54" s="140"/>
      <c r="W54" s="140"/>
      <c r="X54" s="140"/>
      <c r="Y54" s="140"/>
      <c r="Z54" s="140"/>
      <c r="AA54" s="140"/>
      <c r="AB54" s="140"/>
      <c r="AC54" s="140"/>
      <c r="AD54" s="140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94"/>
      <c r="BE54" s="140"/>
      <c r="BF54" s="140"/>
      <c r="BG54" s="143"/>
      <c r="BH54" s="223"/>
      <c r="BI54" s="143"/>
      <c r="BJ54" s="223"/>
      <c r="BK54" s="143"/>
      <c r="BL54" s="140"/>
      <c r="BM54" s="140"/>
      <c r="BN54" s="143"/>
      <c r="BS54" s="140"/>
      <c r="BT54" s="289"/>
      <c r="BY54" s="134"/>
    </row>
    <row r="55" spans="1:77" ht="15" customHeight="1">
      <c r="A55" s="134"/>
      <c r="H55" s="289"/>
      <c r="I55" s="140"/>
      <c r="J55" s="283"/>
      <c r="K55" s="145"/>
      <c r="L55" s="143"/>
      <c r="M55" s="146"/>
      <c r="N55" s="140"/>
      <c r="O55" s="140"/>
      <c r="P55" s="140"/>
      <c r="Q55" s="140"/>
      <c r="R55" s="140"/>
      <c r="S55" s="143"/>
      <c r="T55" s="140"/>
      <c r="U55" s="143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93"/>
      <c r="BE55" s="140"/>
      <c r="BF55" s="249"/>
      <c r="BG55" s="142"/>
      <c r="BH55" s="220"/>
      <c r="BI55" s="142"/>
      <c r="BJ55" s="220"/>
      <c r="BK55" s="195"/>
      <c r="BL55" s="285"/>
      <c r="BM55" s="140"/>
      <c r="BN55" s="143"/>
      <c r="BO55" s="283"/>
      <c r="BP55" s="145"/>
      <c r="BQ55" s="140"/>
      <c r="BR55" s="146"/>
      <c r="BS55" s="140"/>
      <c r="BT55" s="289"/>
      <c r="BY55" s="134"/>
    </row>
    <row r="56" spans="1:77" ht="15" customHeight="1">
      <c r="A56" s="134"/>
      <c r="H56" s="289"/>
      <c r="I56" s="140"/>
      <c r="J56" s="145"/>
      <c r="K56" s="145"/>
      <c r="L56" s="143"/>
      <c r="M56" s="146"/>
      <c r="N56" s="140"/>
      <c r="O56" s="140"/>
      <c r="P56" s="140"/>
      <c r="Q56" s="140"/>
      <c r="R56" s="140"/>
      <c r="S56" s="143"/>
      <c r="T56" s="140"/>
      <c r="U56" s="143"/>
      <c r="V56" s="140"/>
      <c r="W56" s="193">
        <v>1</v>
      </c>
      <c r="X56" s="194"/>
      <c r="Y56" s="193">
        <v>2</v>
      </c>
      <c r="Z56" s="194"/>
      <c r="AA56" s="193">
        <v>3</v>
      </c>
      <c r="AB56" s="194"/>
      <c r="AC56" s="193">
        <v>4</v>
      </c>
      <c r="AE56" s="193" t="s">
        <v>84</v>
      </c>
      <c r="AG56" s="193"/>
      <c r="AH56" s="194"/>
      <c r="AI56" s="193"/>
      <c r="AJ56" s="194"/>
      <c r="AK56" s="193"/>
      <c r="AL56" s="194"/>
      <c r="AM56" s="193"/>
      <c r="AO56" s="193"/>
      <c r="AP56" s="140"/>
      <c r="AQ56" s="140"/>
      <c r="AR56" s="140"/>
      <c r="AS56" s="193">
        <v>5</v>
      </c>
      <c r="AT56" s="194"/>
      <c r="AU56" s="193">
        <v>6</v>
      </c>
      <c r="AV56" s="194"/>
      <c r="AW56" s="193">
        <v>7</v>
      </c>
      <c r="AX56" s="194"/>
      <c r="AY56" s="193">
        <v>8</v>
      </c>
      <c r="BA56" s="193" t="s">
        <v>85</v>
      </c>
      <c r="BB56" s="140"/>
      <c r="BC56" s="140"/>
      <c r="BD56" s="140"/>
      <c r="BE56" s="140"/>
      <c r="BF56" s="140"/>
      <c r="BG56" s="287"/>
      <c r="BH56" s="180"/>
      <c r="BI56" s="287"/>
      <c r="BJ56" s="223"/>
      <c r="BK56" s="143"/>
      <c r="BL56" s="286"/>
      <c r="BM56" s="140"/>
      <c r="BN56" s="143"/>
      <c r="BO56" s="145"/>
      <c r="BP56" s="145"/>
      <c r="BQ56" s="224"/>
      <c r="BR56" s="146"/>
      <c r="BS56" s="140"/>
      <c r="BT56" s="289"/>
      <c r="BY56" s="134"/>
    </row>
    <row r="57" spans="1:77" ht="9.75" customHeight="1">
      <c r="A57" s="134"/>
      <c r="H57" s="289"/>
      <c r="I57" s="140"/>
      <c r="N57" s="143"/>
      <c r="O57" s="143"/>
      <c r="P57" s="140"/>
      <c r="Q57" s="140"/>
      <c r="R57" s="143"/>
      <c r="S57" s="143"/>
      <c r="T57" s="143"/>
      <c r="U57" s="143"/>
      <c r="V57" s="140"/>
      <c r="W57" s="140"/>
      <c r="X57" s="140"/>
      <c r="Y57" s="140"/>
      <c r="Z57" s="140"/>
      <c r="AA57" s="140"/>
      <c r="AB57" s="140"/>
      <c r="AC57" s="140"/>
      <c r="AD57" s="140"/>
      <c r="AG57" s="140"/>
      <c r="AH57" s="140"/>
      <c r="AI57" s="140"/>
      <c r="AJ57" s="140"/>
      <c r="AK57" s="140"/>
      <c r="AL57" s="140"/>
      <c r="AM57" s="140"/>
      <c r="AO57" s="140"/>
      <c r="AP57" s="140"/>
      <c r="AQ57" s="140"/>
      <c r="AR57" s="140"/>
      <c r="AS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3"/>
      <c r="BH57" s="223"/>
      <c r="BI57" s="143"/>
      <c r="BJ57" s="223"/>
      <c r="BK57" s="143"/>
      <c r="BL57" s="140"/>
      <c r="BM57" s="140"/>
      <c r="BN57" s="143"/>
      <c r="BS57" s="140"/>
      <c r="BT57" s="289"/>
      <c r="BY57" s="134"/>
    </row>
    <row r="58" spans="1:77" ht="15" customHeight="1">
      <c r="A58" s="134"/>
      <c r="H58" s="289"/>
      <c r="I58" s="140"/>
      <c r="J58" s="288"/>
      <c r="K58" s="288"/>
      <c r="L58" s="288"/>
      <c r="M58" s="142"/>
      <c r="N58" s="140"/>
      <c r="O58" s="140"/>
      <c r="P58" s="140"/>
      <c r="Q58" s="140"/>
      <c r="R58" s="140"/>
      <c r="S58" s="142"/>
      <c r="T58" s="140"/>
      <c r="U58" s="140"/>
      <c r="V58" s="140"/>
      <c r="W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O58" s="140"/>
      <c r="AP58" s="140"/>
      <c r="AQ58" s="140"/>
      <c r="AR58" s="140"/>
      <c r="AS58" s="140"/>
      <c r="AV58" s="140"/>
      <c r="AW58" s="140"/>
      <c r="AX58" s="140"/>
      <c r="BC58" s="140"/>
      <c r="BD58" s="176"/>
      <c r="BE58" s="140"/>
      <c r="BF58" s="140"/>
      <c r="BG58" s="140"/>
      <c r="BH58" s="220"/>
      <c r="BI58" s="142"/>
      <c r="BJ58" s="220"/>
      <c r="BK58" s="142"/>
      <c r="BL58" s="285"/>
      <c r="BM58" s="140"/>
      <c r="BN58" s="143"/>
      <c r="BO58" s="288"/>
      <c r="BP58" s="288"/>
      <c r="BQ58" s="288"/>
      <c r="BR58" s="142"/>
      <c r="BS58" s="140"/>
      <c r="BT58" s="289"/>
      <c r="BY58" s="134"/>
    </row>
    <row r="59" spans="1:77" ht="15" customHeight="1">
      <c r="A59" s="134"/>
      <c r="H59" s="289"/>
      <c r="I59" s="140"/>
      <c r="J59" s="288"/>
      <c r="K59" s="288"/>
      <c r="L59" s="288"/>
      <c r="M59" s="142"/>
      <c r="N59" s="140"/>
      <c r="O59" s="143"/>
      <c r="P59" s="140"/>
      <c r="Q59" s="140"/>
      <c r="R59" s="140"/>
      <c r="S59" s="287"/>
      <c r="T59" s="212"/>
      <c r="U59" s="140"/>
      <c r="V59" s="140"/>
      <c r="W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O59" s="140"/>
      <c r="AP59" s="140"/>
      <c r="AQ59" s="140"/>
      <c r="AR59" s="140"/>
      <c r="AS59" s="140"/>
      <c r="AV59" s="140"/>
      <c r="AW59" s="140"/>
      <c r="AX59" s="140"/>
      <c r="BC59" s="140"/>
      <c r="BD59" s="180"/>
      <c r="BE59" s="140"/>
      <c r="BF59" s="140"/>
      <c r="BG59" s="140"/>
      <c r="BH59" s="180"/>
      <c r="BI59" s="287"/>
      <c r="BJ59" s="223"/>
      <c r="BK59" s="143"/>
      <c r="BL59" s="286"/>
      <c r="BM59" s="140"/>
      <c r="BN59" s="143"/>
      <c r="BO59" s="288"/>
      <c r="BP59" s="288"/>
      <c r="BQ59" s="288"/>
      <c r="BR59" s="142"/>
      <c r="BS59" s="140"/>
      <c r="BT59" s="289"/>
      <c r="BY59" s="134"/>
    </row>
    <row r="60" spans="1:77" ht="9.75" customHeight="1">
      <c r="A60" s="134"/>
      <c r="H60" s="289"/>
      <c r="I60" s="140"/>
      <c r="J60" s="143"/>
      <c r="K60" s="143"/>
      <c r="L60" s="143"/>
      <c r="M60" s="140"/>
      <c r="N60" s="143"/>
      <c r="O60" s="143"/>
      <c r="P60" s="140"/>
      <c r="Q60" s="140"/>
      <c r="R60" s="143"/>
      <c r="S60" s="180"/>
      <c r="T60" s="212"/>
      <c r="U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O60" s="140"/>
      <c r="AP60" s="140"/>
      <c r="AQ60" s="140"/>
      <c r="AR60" s="140"/>
      <c r="AS60" s="140"/>
      <c r="AV60" s="140"/>
      <c r="AW60" s="140"/>
      <c r="AX60" s="140"/>
      <c r="BC60" s="140"/>
      <c r="BG60" s="140"/>
      <c r="BJ60" s="223"/>
      <c r="BK60" s="143"/>
      <c r="BL60" s="140"/>
      <c r="BM60" s="140"/>
      <c r="BN60" s="143"/>
      <c r="BO60" s="140"/>
      <c r="BP60" s="140"/>
      <c r="BQ60" s="140"/>
      <c r="BR60" s="140"/>
      <c r="BS60" s="140"/>
      <c r="BT60" s="289"/>
      <c r="BY60" s="134"/>
    </row>
    <row r="61" spans="1:77" ht="15" customHeight="1">
      <c r="A61" s="134"/>
      <c r="H61" s="289"/>
      <c r="I61" s="140"/>
      <c r="J61" s="140"/>
      <c r="K61" s="140"/>
      <c r="L61" s="140"/>
      <c r="M61" s="144"/>
      <c r="N61" s="140"/>
      <c r="O61" s="201"/>
      <c r="P61" s="142"/>
      <c r="Q61" s="140"/>
      <c r="R61" s="201"/>
      <c r="U61" s="155">
        <f>'Raw data &amp; Hourly Summary'!BV132</f>
        <v>703</v>
      </c>
      <c r="W61" s="177">
        <f>'Raw data &amp; Hourly Summary'!BV139</f>
        <v>3</v>
      </c>
      <c r="X61" s="140"/>
      <c r="Y61" s="177">
        <f>'Raw data &amp; Hourly Summary'!BW139</f>
        <v>215</v>
      </c>
      <c r="Z61" s="142"/>
      <c r="AA61" s="177">
        <f>'Raw data &amp; Hourly Summary'!BX139</f>
        <v>413</v>
      </c>
      <c r="AB61" s="142"/>
      <c r="AC61" s="177">
        <f>'Raw data &amp; Hourly Summary'!BY139</f>
        <v>70</v>
      </c>
      <c r="AD61" s="142"/>
      <c r="AE61" s="177">
        <f>'Raw data &amp; Hourly Summary'!BZ139</f>
        <v>2</v>
      </c>
      <c r="AG61" s="415" t="s">
        <v>28</v>
      </c>
      <c r="AH61" s="415"/>
      <c r="AI61" s="143" t="s">
        <v>30</v>
      </c>
      <c r="AJ61" s="142"/>
      <c r="AK61" s="155">
        <f>'Raw data &amp; Hourly Summary'!BW132</f>
        <v>645</v>
      </c>
      <c r="AM61" s="176"/>
      <c r="AN61" s="176"/>
      <c r="AO61" s="140"/>
      <c r="AQ61" s="155">
        <f>'Raw data &amp; Hourly Summary'!BX132</f>
        <v>513</v>
      </c>
      <c r="AS61" s="177">
        <f>'Raw data &amp; Hourly Summary'!CA139</f>
        <v>65</v>
      </c>
      <c r="AU61" s="177">
        <f>'Raw data &amp; Hourly Summary'!CB139</f>
        <v>23</v>
      </c>
      <c r="AV61" s="142"/>
      <c r="AW61" s="177">
        <f>'Raw data &amp; Hourly Summary'!CC139</f>
        <v>307</v>
      </c>
      <c r="AX61" s="142"/>
      <c r="AY61" s="177">
        <f>'Raw data &amp; Hourly Summary'!CD139</f>
        <v>116</v>
      </c>
      <c r="AZ61" s="142"/>
      <c r="BA61" s="177">
        <f>'Raw data &amp; Hourly Summary'!CE139</f>
        <v>2</v>
      </c>
      <c r="BC61" s="415" t="s">
        <v>28</v>
      </c>
      <c r="BD61" s="415"/>
      <c r="BE61" s="143" t="s">
        <v>30</v>
      </c>
      <c r="BG61" s="155">
        <f>'Raw data &amp; Hourly Summary'!BY132</f>
        <v>320</v>
      </c>
      <c r="BJ61" s="220"/>
      <c r="BK61" s="220"/>
      <c r="BL61" s="142"/>
      <c r="BM61" s="140"/>
      <c r="BN61" s="143"/>
      <c r="BO61" s="144"/>
      <c r="BP61" s="140"/>
      <c r="BQ61" s="140"/>
      <c r="BR61" s="140"/>
      <c r="BS61" s="140"/>
      <c r="BT61" s="289"/>
      <c r="BY61" s="134"/>
    </row>
    <row r="62" spans="1:77" ht="15" customHeight="1">
      <c r="A62" s="134"/>
      <c r="H62" s="289"/>
      <c r="I62" s="140"/>
      <c r="J62" s="143"/>
      <c r="K62" s="143"/>
      <c r="L62" s="143"/>
      <c r="M62" s="147"/>
      <c r="N62" s="143"/>
      <c r="O62" s="201"/>
      <c r="P62" s="286"/>
      <c r="Q62" s="140"/>
      <c r="R62" s="180"/>
      <c r="U62" s="166">
        <f>IF(U61=0,0,U61/'Raw data &amp; Hourly Summary'!BV134)</f>
        <v>0.24174690508940852</v>
      </c>
      <c r="W62" s="178">
        <f>IF(W61=0,0,W61/$U$61)</f>
        <v>4.2674253200568994E-3</v>
      </c>
      <c r="X62" s="140"/>
      <c r="Y62" s="178">
        <f>IF(Y61=0,0,Y61/$U$61)</f>
        <v>0.30583214793741109</v>
      </c>
      <c r="Z62" s="179"/>
      <c r="AA62" s="178">
        <f>IF(AA61=0,0,AA61/$U$61)</f>
        <v>0.58748221906116638</v>
      </c>
      <c r="AB62" s="179"/>
      <c r="AC62" s="178">
        <f>IF(AC61=0,0,AC61/$U$61)</f>
        <v>9.9573257467994308E-2</v>
      </c>
      <c r="AD62" s="179"/>
      <c r="AE62" s="178">
        <f>IF(AE61=0,0,AE61/$U$61)</f>
        <v>2.8449502133712661E-3</v>
      </c>
      <c r="AG62" s="415"/>
      <c r="AH62" s="415"/>
      <c r="AI62" s="143" t="s">
        <v>31</v>
      </c>
      <c r="AJ62" s="179"/>
      <c r="AK62" s="166">
        <f>IF(AK61=0,0,AK61/'Raw data &amp; Hourly Summary'!BW134)</f>
        <v>0.37068965517241381</v>
      </c>
      <c r="AM62" s="180"/>
      <c r="AN62" s="180"/>
      <c r="AO62" s="140"/>
      <c r="AQ62" s="166">
        <f>IF(AQ61=0,0,AQ61/'Raw data &amp; Hourly Summary'!BX134)</f>
        <v>0.37831858407079644</v>
      </c>
      <c r="AS62" s="178">
        <f>IF(AS61=0,0,AS61/$AQ$61)</f>
        <v>0.12670565302144249</v>
      </c>
      <c r="AU62" s="178">
        <f>IF(AU61=0,0,AU61/$AQ$61)</f>
        <v>4.4834307992202727E-2</v>
      </c>
      <c r="AV62" s="179"/>
      <c r="AW62" s="178">
        <f>IF(AW61=0,0,AW61/$AQ$61)</f>
        <v>0.59844054580896688</v>
      </c>
      <c r="AX62" s="179"/>
      <c r="AY62" s="178">
        <f>IF(AY61=0,0,AY61/$AQ$61)</f>
        <v>0.22612085769980506</v>
      </c>
      <c r="AZ62" s="179"/>
      <c r="BA62" s="178">
        <f>IF(BA61=0,0,BA61/$AQ$61)</f>
        <v>3.8986354775828458E-3</v>
      </c>
      <c r="BC62" s="415"/>
      <c r="BD62" s="415"/>
      <c r="BE62" s="143" t="s">
        <v>31</v>
      </c>
      <c r="BG62" s="166">
        <f>IF(BG61=0,0,BG61/'Raw data &amp; Hourly Summary'!BY134)</f>
        <v>0.36036036036036034</v>
      </c>
      <c r="BJ62" s="223"/>
      <c r="BK62" s="201"/>
      <c r="BL62" s="286"/>
      <c r="BM62" s="140"/>
      <c r="BN62" s="143"/>
      <c r="BO62" s="147"/>
      <c r="BP62" s="143"/>
      <c r="BQ62" s="143"/>
      <c r="BR62" s="140"/>
      <c r="BS62" s="140"/>
      <c r="BT62" s="289"/>
      <c r="BY62" s="134"/>
    </row>
    <row r="63" spans="1:77" ht="9.9499999999999993" customHeight="1">
      <c r="A63" s="134"/>
      <c r="H63" s="289"/>
      <c r="I63" s="140"/>
      <c r="J63" s="143"/>
      <c r="K63" s="143"/>
      <c r="L63" s="143"/>
      <c r="M63" s="143"/>
      <c r="N63" s="143"/>
      <c r="O63" s="201"/>
      <c r="P63" s="140"/>
      <c r="Q63" s="140"/>
      <c r="R63" s="180"/>
      <c r="U63" s="176"/>
      <c r="W63" s="143"/>
      <c r="X63" s="140"/>
      <c r="Y63" s="143"/>
      <c r="Z63" s="143"/>
      <c r="AA63" s="143"/>
      <c r="AB63" s="143"/>
      <c r="AC63" s="143"/>
      <c r="AD63" s="143"/>
      <c r="AE63" s="143"/>
      <c r="AG63" s="181"/>
      <c r="AH63" s="181"/>
      <c r="AI63" s="140"/>
      <c r="AJ63" s="143"/>
      <c r="AK63" s="176"/>
      <c r="AM63" s="176"/>
      <c r="AN63" s="176"/>
      <c r="AO63" s="140"/>
      <c r="AQ63" s="176"/>
      <c r="AS63" s="143"/>
      <c r="AU63" s="143"/>
      <c r="AV63" s="143"/>
      <c r="AW63" s="143"/>
      <c r="AX63" s="143"/>
      <c r="AY63" s="143"/>
      <c r="AZ63" s="143"/>
      <c r="BA63" s="143"/>
      <c r="BC63" s="181"/>
      <c r="BD63" s="181"/>
      <c r="BE63" s="140"/>
      <c r="BG63" s="176"/>
      <c r="BJ63" s="223"/>
      <c r="BK63" s="201"/>
      <c r="BL63" s="140"/>
      <c r="BM63" s="140"/>
      <c r="BN63" s="143"/>
      <c r="BO63" s="140"/>
      <c r="BP63" s="140"/>
      <c r="BQ63" s="140"/>
      <c r="BR63" s="140"/>
      <c r="BS63" s="140"/>
      <c r="BT63" s="289"/>
      <c r="BY63" s="134"/>
    </row>
    <row r="64" spans="1:77" ht="15" customHeight="1">
      <c r="A64" s="134"/>
      <c r="H64" s="289"/>
      <c r="I64" s="140"/>
      <c r="J64" s="140"/>
      <c r="K64" s="140"/>
      <c r="L64" s="140"/>
      <c r="N64" s="201"/>
      <c r="U64" s="155">
        <f>'Raw data &amp; Hourly Summary'!BV133</f>
        <v>757</v>
      </c>
      <c r="W64" s="177">
        <f>'Raw data &amp; Hourly Summary'!BV140</f>
        <v>24</v>
      </c>
      <c r="X64" s="140"/>
      <c r="Y64" s="177">
        <f>'Raw data &amp; Hourly Summary'!BW140</f>
        <v>288</v>
      </c>
      <c r="Z64" s="142"/>
      <c r="AA64" s="177">
        <f>'Raw data &amp; Hourly Summary'!BX140</f>
        <v>330</v>
      </c>
      <c r="AB64" s="142"/>
      <c r="AC64" s="177">
        <f>'Raw data &amp; Hourly Summary'!BY140</f>
        <v>103</v>
      </c>
      <c r="AD64" s="142"/>
      <c r="AE64" s="177">
        <f>'Raw data &amp; Hourly Summary'!BZ140</f>
        <v>12</v>
      </c>
      <c r="AG64" s="415" t="s">
        <v>29</v>
      </c>
      <c r="AH64" s="415"/>
      <c r="AI64" s="143" t="s">
        <v>30</v>
      </c>
      <c r="AJ64" s="142"/>
      <c r="AK64" s="155">
        <f>'Raw data &amp; Hourly Summary'!BW133</f>
        <v>1108</v>
      </c>
      <c r="AM64" s="176"/>
      <c r="AN64" s="176"/>
      <c r="AO64" s="140"/>
      <c r="AQ64" s="155">
        <f>'Raw data &amp; Hourly Summary'!BX133</f>
        <v>330</v>
      </c>
      <c r="AS64" s="177">
        <f>'Raw data &amp; Hourly Summary'!CA140</f>
        <v>99</v>
      </c>
      <c r="AU64" s="177">
        <f>'Raw data &amp; Hourly Summary'!CB140</f>
        <v>35</v>
      </c>
      <c r="AV64" s="142"/>
      <c r="AW64" s="177">
        <f>'Raw data &amp; Hourly Summary'!CC140</f>
        <v>150</v>
      </c>
      <c r="AX64" s="142"/>
      <c r="AY64" s="177">
        <f>'Raw data &amp; Hourly Summary'!CD140</f>
        <v>42</v>
      </c>
      <c r="AZ64" s="142"/>
      <c r="BA64" s="177">
        <f>'Raw data &amp; Hourly Summary'!CE140</f>
        <v>4</v>
      </c>
      <c r="BC64" s="415" t="s">
        <v>29</v>
      </c>
      <c r="BD64" s="415"/>
      <c r="BE64" s="143" t="s">
        <v>30</v>
      </c>
      <c r="BG64" s="155">
        <f>'Raw data &amp; Hourly Summary'!BY133</f>
        <v>467</v>
      </c>
      <c r="BJ64" s="220"/>
      <c r="BN64" s="140"/>
      <c r="BP64" s="143"/>
      <c r="BQ64" s="143"/>
      <c r="BR64" s="140"/>
      <c r="BS64" s="140"/>
      <c r="BT64" s="289"/>
      <c r="BY64" s="134"/>
    </row>
    <row r="65" spans="1:77" ht="15" customHeight="1">
      <c r="A65" s="134"/>
      <c r="H65" s="289"/>
      <c r="I65" s="140"/>
      <c r="J65" s="176"/>
      <c r="K65" s="176"/>
      <c r="L65" s="176"/>
      <c r="N65" s="201"/>
      <c r="U65" s="166">
        <f>IF(U64=0,0,U64/'Raw data &amp; Hourly Summary'!BV135)</f>
        <v>0.27161822748475062</v>
      </c>
      <c r="W65" s="178">
        <f>IF(W64=0,0,W64/$U$64)</f>
        <v>3.1704095112285335E-2</v>
      </c>
      <c r="X65" s="140"/>
      <c r="Y65" s="178">
        <f>IF(Y64=0,0,Y64/$U$64)</f>
        <v>0.38044914134742402</v>
      </c>
      <c r="Z65" s="179"/>
      <c r="AA65" s="178">
        <f>IF(AA64=0,0,AA64/$U$64)</f>
        <v>0.43593130779392336</v>
      </c>
      <c r="AB65" s="179"/>
      <c r="AC65" s="178">
        <f>IF(AC64=0,0,AC64/$U$64)</f>
        <v>0.13606340819022458</v>
      </c>
      <c r="AD65" s="179"/>
      <c r="AE65" s="178">
        <f>IF(AE64=0,0,AE64/$U$64)</f>
        <v>1.5852047556142668E-2</v>
      </c>
      <c r="AG65" s="415"/>
      <c r="AH65" s="415"/>
      <c r="AI65" s="143" t="s">
        <v>31</v>
      </c>
      <c r="AJ65" s="179"/>
      <c r="AK65" s="166">
        <f>IF(AK64=0,0,AK64/'Raw data &amp; Hourly Summary'!BW135)</f>
        <v>0.28556701030927834</v>
      </c>
      <c r="AM65" s="180"/>
      <c r="AN65" s="180"/>
      <c r="AO65" s="140"/>
      <c r="AQ65" s="166">
        <f>IF(AQ64=0,0,AQ64/'Raw data &amp; Hourly Summary'!BX135)</f>
        <v>0.252486610558531</v>
      </c>
      <c r="AS65" s="178">
        <f>IF(AS64=0,0,AS64/$AQ$64)</f>
        <v>0.3</v>
      </c>
      <c r="AU65" s="178">
        <f>IF(AU64=0,0,AU64/$AQ$64)</f>
        <v>0.10606060606060606</v>
      </c>
      <c r="AV65" s="179"/>
      <c r="AW65" s="178">
        <f>IF(AW64=0,0,AW64/$AQ$64)</f>
        <v>0.45454545454545453</v>
      </c>
      <c r="AX65" s="179"/>
      <c r="AY65" s="178">
        <f>IF(AY64=0,0,AY64/$AQ$64)</f>
        <v>0.12727272727272726</v>
      </c>
      <c r="AZ65" s="179"/>
      <c r="BA65" s="178">
        <f>IF(BA64=0,0,BA64/$AQ$64)</f>
        <v>1.2121212121212121E-2</v>
      </c>
      <c r="BC65" s="415"/>
      <c r="BD65" s="415"/>
      <c r="BE65" s="143" t="s">
        <v>31</v>
      </c>
      <c r="BG65" s="166">
        <f>IF(BG64=0,0,BG64/'Raw data &amp; Hourly Summary'!BY135)</f>
        <v>0.26295045045045046</v>
      </c>
      <c r="BJ65" s="180"/>
      <c r="BN65" s="201"/>
      <c r="BP65" s="143"/>
      <c r="BQ65" s="143"/>
      <c r="BR65" s="140"/>
      <c r="BS65" s="140"/>
      <c r="BT65" s="289"/>
      <c r="BY65" s="134"/>
    </row>
    <row r="66" spans="1:77" ht="9.9499999999999993" customHeight="1" thickBot="1">
      <c r="A66" s="134"/>
      <c r="H66" s="140"/>
      <c r="I66" s="140"/>
      <c r="J66" s="140"/>
      <c r="K66" s="140"/>
      <c r="L66" s="140"/>
      <c r="M66" s="140"/>
      <c r="N66" s="140"/>
      <c r="O66" s="140"/>
      <c r="P66" s="143"/>
      <c r="Q66" s="143"/>
      <c r="R66" s="143"/>
      <c r="S66" s="143"/>
      <c r="T66" s="143"/>
      <c r="U66" s="143"/>
      <c r="V66" s="140"/>
      <c r="W66" s="140"/>
      <c r="X66" s="140"/>
      <c r="Y66" s="140"/>
      <c r="Z66" s="140"/>
      <c r="AA66" s="140"/>
      <c r="AD66" s="140"/>
      <c r="AE66" s="176"/>
      <c r="AF66" s="176"/>
      <c r="AG66" s="143"/>
      <c r="AH66" s="143"/>
      <c r="AI66" s="143"/>
      <c r="AJ66" s="143"/>
      <c r="AK66" s="143"/>
      <c r="AL66" s="143"/>
      <c r="AM66" s="143"/>
      <c r="AO66" s="143"/>
      <c r="AP66" s="143"/>
      <c r="AQ66" s="143"/>
      <c r="AR66" s="143"/>
      <c r="AS66" s="143"/>
      <c r="AV66" s="140"/>
      <c r="AW66" s="176"/>
      <c r="AX66" s="176"/>
      <c r="BC66" s="140"/>
      <c r="BD66" s="140"/>
      <c r="BE66" s="140"/>
      <c r="BF66" s="140"/>
      <c r="BG66" s="143"/>
      <c r="BH66" s="143"/>
      <c r="BI66" s="143"/>
      <c r="BJ66" s="143"/>
      <c r="BK66" s="143"/>
      <c r="BL66" s="143"/>
      <c r="BM66" s="143"/>
      <c r="BN66" s="143"/>
      <c r="BR66" s="140"/>
      <c r="BS66" s="140"/>
      <c r="BT66" s="140"/>
      <c r="BY66" s="134"/>
    </row>
    <row r="67" spans="1:77" ht="9.9499999999999993" customHeight="1">
      <c r="A67" s="134"/>
      <c r="H67" s="140"/>
      <c r="I67" s="140"/>
      <c r="J67" s="140"/>
      <c r="K67" s="140"/>
      <c r="L67" s="140"/>
      <c r="M67" s="140"/>
      <c r="N67" s="140"/>
      <c r="R67" s="238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40"/>
      <c r="AR67" s="151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3"/>
      <c r="BK67" s="143"/>
      <c r="BL67" s="143"/>
      <c r="BM67" s="143"/>
      <c r="BN67" s="143"/>
      <c r="BR67" s="140"/>
      <c r="BS67" s="140"/>
      <c r="BT67" s="140"/>
      <c r="BY67" s="134"/>
    </row>
    <row r="68" spans="1:77" ht="15" customHeight="1">
      <c r="A68" s="134"/>
      <c r="H68" s="140"/>
      <c r="I68" s="140"/>
      <c r="J68" s="143"/>
      <c r="K68" s="143"/>
      <c r="L68" s="143"/>
      <c r="M68" s="140"/>
      <c r="N68" s="140"/>
      <c r="R68" s="241"/>
      <c r="S68" s="155">
        <f ca="1">'Raw data &amp; Hourly Summary'!BV131</f>
        <v>2787</v>
      </c>
      <c r="T68" s="243"/>
      <c r="U68" s="296">
        <f ca="1">'Raw data &amp; Hourly Summary'!BV128</f>
        <v>67</v>
      </c>
      <c r="V68" s="297"/>
      <c r="W68" s="296">
        <f ca="1">'Raw data &amp; Hourly Summary'!BW128</f>
        <v>1034</v>
      </c>
      <c r="X68" s="242"/>
      <c r="Y68" s="296">
        <f ca="1">'Raw data &amp; Hourly Summary'!BX128</f>
        <v>1211</v>
      </c>
      <c r="Z68" s="242"/>
      <c r="AA68" s="296">
        <f ca="1">'Raw data &amp; Hourly Summary'!BY128</f>
        <v>436</v>
      </c>
      <c r="AB68" s="242"/>
      <c r="AC68" s="296">
        <f ca="1">'Raw data &amp; Hourly Summary'!BZ128</f>
        <v>39</v>
      </c>
      <c r="AD68" s="242"/>
      <c r="AE68" s="244" t="s">
        <v>40</v>
      </c>
      <c r="AF68" s="242"/>
      <c r="AG68" s="242"/>
      <c r="AH68" s="242"/>
      <c r="AI68" s="155">
        <f ca="1">'Raw data &amp; Hourly Summary'!BW131</f>
        <v>3880</v>
      </c>
      <c r="AJ68" s="245"/>
      <c r="AR68" s="159"/>
      <c r="AS68" s="160">
        <f ca="1">'Raw data &amp; Hourly Summary'!BX131</f>
        <v>1307</v>
      </c>
      <c r="AT68" s="161"/>
      <c r="AU68" s="162">
        <f ca="1">'Raw data &amp; Hourly Summary'!CA128</f>
        <v>344</v>
      </c>
      <c r="AV68" s="161"/>
      <c r="AW68" s="162">
        <f ca="1">'Raw data &amp; Hourly Summary'!CB128</f>
        <v>144</v>
      </c>
      <c r="AX68" s="163"/>
      <c r="AY68" s="162">
        <f ca="1">'Raw data &amp; Hourly Summary'!CC128</f>
        <v>619</v>
      </c>
      <c r="AZ68" s="163"/>
      <c r="BA68" s="162">
        <f ca="1">'Raw data &amp; Hourly Summary'!CD128</f>
        <v>182</v>
      </c>
      <c r="BB68" s="163"/>
      <c r="BC68" s="162">
        <f ca="1">'Raw data &amp; Hourly Summary'!CE128</f>
        <v>18</v>
      </c>
      <c r="BD68" s="163"/>
      <c r="BE68" s="163"/>
      <c r="BF68" s="163"/>
      <c r="BG68" s="163"/>
      <c r="BH68" s="163"/>
      <c r="BI68" s="160">
        <f ca="1">'Raw data &amp; Hourly Summary'!BY131</f>
        <v>1776</v>
      </c>
      <c r="BJ68" s="164"/>
      <c r="BK68" s="140"/>
      <c r="BL68" s="140"/>
      <c r="BM68" s="140"/>
      <c r="BN68" s="140"/>
      <c r="BR68" s="140"/>
      <c r="BS68" s="140"/>
      <c r="BT68" s="140"/>
      <c r="BY68" s="134"/>
    </row>
    <row r="69" spans="1:77" ht="15" customHeight="1">
      <c r="A69" s="134"/>
      <c r="H69" s="140"/>
      <c r="I69" s="140"/>
      <c r="J69" s="140"/>
      <c r="K69" s="140"/>
      <c r="L69" s="140"/>
      <c r="M69" s="140"/>
      <c r="N69" s="140"/>
      <c r="R69" s="241"/>
      <c r="S69" s="165">
        <f ca="1">IF(S68=0,0,S68/IF(COUNTA('Raw data &amp; Hourly Summary'!$BQ$139:$BQ$152)&gt;='Raw data &amp; Hourly Summary'!$BQ$128,'Raw data &amp; Hourly Summary'!BV134,'Raw data &amp; Hourly Summary'!BV135))</f>
        <v>1</v>
      </c>
      <c r="T69" s="243"/>
      <c r="U69" s="298">
        <f ca="1">IF(U68=0,0,U68/$S$68)</f>
        <v>2.4040186580552566E-2</v>
      </c>
      <c r="V69" s="299"/>
      <c r="W69" s="298">
        <f ca="1">IF(W68=0,0,W68/$S$68)</f>
        <v>0.3710082526013635</v>
      </c>
      <c r="X69" s="243"/>
      <c r="Y69" s="298">
        <f ca="1">IF(Y68=0,0,Y68/$S$68)</f>
        <v>0.43451740222461427</v>
      </c>
      <c r="Z69" s="243"/>
      <c r="AA69" s="298">
        <f ca="1">IF(AA68=0,0,AA68/$S$68)</f>
        <v>0.15644061715105848</v>
      </c>
      <c r="AB69" s="243"/>
      <c r="AC69" s="298">
        <f ca="1">IF(AC68=0,0,AC68/$S$68)</f>
        <v>1.3993541442411194E-2</v>
      </c>
      <c r="AD69" s="243"/>
      <c r="AE69" s="244" t="s">
        <v>41</v>
      </c>
      <c r="AF69" s="243"/>
      <c r="AG69" s="243"/>
      <c r="AH69" s="243"/>
      <c r="AI69" s="166">
        <f ca="1">IF(AI68=0,0,AI68/IF(COUNTA('Raw data &amp; Hourly Summary'!$BQ$139:$BQ$152)&gt;='Raw data &amp; Hourly Summary'!$BQ$128,'Raw data &amp; Hourly Summary'!BW134,'Raw data &amp; Hourly Summary'!BW135))</f>
        <v>1</v>
      </c>
      <c r="AJ69" s="245"/>
      <c r="AR69" s="159"/>
      <c r="AS69" s="167">
        <f ca="1">IF(AS68=0,0,AS68/IF(COUNTA('Raw data &amp; Hourly Summary'!$BQ$139:$BQ$152)&gt;='Raw data &amp; Hourly Summary'!$BQ$128,'Raw data &amp; Hourly Summary'!BX134,'Raw data &amp; Hourly Summary'!BX135))</f>
        <v>1</v>
      </c>
      <c r="AT69" s="161"/>
      <c r="AU69" s="168">
        <f ca="1">IF(AU68=0,0,AU68/$AS$68)</f>
        <v>0.26319816373374139</v>
      </c>
      <c r="AV69" s="161"/>
      <c r="AW69" s="168">
        <f ca="1">IF(AW68=0,0,AW68/$AS$68)</f>
        <v>0.11017597551644988</v>
      </c>
      <c r="AX69" s="161"/>
      <c r="AY69" s="168">
        <f ca="1">IF(AY68=0,0,AY68/$AS$68)</f>
        <v>0.47360367253251723</v>
      </c>
      <c r="AZ69" s="161"/>
      <c r="BA69" s="168">
        <f ca="1">IF(BA68=0,0,BA68/$AS$68)</f>
        <v>0.13925019127773527</v>
      </c>
      <c r="BB69" s="161"/>
      <c r="BC69" s="168">
        <f ca="1">IF(BC68=0,0,BC68/$AS$68)</f>
        <v>1.3771996939556235E-2</v>
      </c>
      <c r="BD69" s="161"/>
      <c r="BE69" s="161"/>
      <c r="BF69" s="161"/>
      <c r="BG69" s="161"/>
      <c r="BH69" s="161"/>
      <c r="BI69" s="169">
        <f ca="1">IF(BI68=0,0,BI68/IF(COUNTA('Raw data &amp; Hourly Summary'!$BQ$139:$BQ$152)&gt;='Raw data &amp; Hourly Summary'!$BQ$128,'Raw data &amp; Hourly Summary'!BY134,'Raw data &amp; Hourly Summary'!BY135))</f>
        <v>1</v>
      </c>
      <c r="BJ69" s="164"/>
      <c r="BK69" s="140"/>
      <c r="BL69" s="140"/>
      <c r="BM69" s="140"/>
      <c r="BN69" s="140"/>
      <c r="BR69" s="140"/>
      <c r="BS69" s="140"/>
      <c r="BT69" s="140"/>
      <c r="BY69" s="134"/>
    </row>
    <row r="70" spans="1:77" ht="9.9499999999999993" customHeight="1" thickBot="1">
      <c r="A70" s="134"/>
      <c r="H70" s="140"/>
      <c r="I70" s="140"/>
      <c r="J70" s="140"/>
      <c r="K70" s="140"/>
      <c r="L70" s="140"/>
      <c r="M70" s="140"/>
      <c r="N70" s="140"/>
      <c r="R70" s="246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8"/>
      <c r="AR70" s="173"/>
      <c r="AS70" s="174"/>
      <c r="AT70" s="174"/>
      <c r="AU70" s="174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4"/>
      <c r="BJ70" s="175"/>
      <c r="BK70" s="140"/>
      <c r="BL70" s="140"/>
      <c r="BM70" s="140"/>
      <c r="BN70" s="140"/>
      <c r="BR70" s="140"/>
      <c r="BS70" s="140"/>
      <c r="BT70" s="140"/>
      <c r="BY70" s="134"/>
    </row>
    <row r="71" spans="1:77" ht="15" customHeight="1">
      <c r="A71" s="134"/>
      <c r="H71" s="140"/>
      <c r="I71" s="140"/>
      <c r="J71" s="140"/>
      <c r="K71" s="140"/>
      <c r="L71" s="140"/>
      <c r="M71" s="140"/>
      <c r="N71" s="140"/>
      <c r="S71" s="144" t="s">
        <v>8</v>
      </c>
      <c r="U71" s="145"/>
      <c r="V71" s="140"/>
      <c r="W71" s="141"/>
      <c r="X71" s="140"/>
      <c r="Y71" s="142"/>
      <c r="Z71" s="142"/>
      <c r="AA71" s="142"/>
      <c r="AC71" s="146"/>
      <c r="AD71" s="140"/>
      <c r="AE71" s="140"/>
      <c r="AG71" s="140"/>
      <c r="AI71" s="144" t="s">
        <v>8</v>
      </c>
      <c r="AS71" s="144" t="s">
        <v>8</v>
      </c>
      <c r="AU71" s="145"/>
      <c r="AV71" s="140"/>
      <c r="AW71" s="141"/>
      <c r="AX71" s="140"/>
      <c r="AY71" s="142"/>
      <c r="AZ71" s="142"/>
      <c r="BA71" s="142"/>
      <c r="BC71" s="146"/>
      <c r="BD71" s="140"/>
      <c r="BE71" s="140"/>
      <c r="BG71" s="140"/>
      <c r="BI71" s="144" t="s">
        <v>8</v>
      </c>
      <c r="BJ71" s="140"/>
      <c r="BK71" s="140"/>
      <c r="BL71" s="140"/>
      <c r="BM71" s="140"/>
      <c r="BN71" s="140"/>
      <c r="BR71" s="140"/>
      <c r="BS71" s="140"/>
      <c r="BT71" s="140"/>
      <c r="BY71" s="134"/>
    </row>
    <row r="72" spans="1:77" ht="15" customHeight="1">
      <c r="A72" s="134"/>
      <c r="H72" s="140"/>
      <c r="I72" s="140"/>
      <c r="J72" s="140"/>
      <c r="K72" s="140"/>
      <c r="L72" s="140"/>
      <c r="M72" s="140"/>
      <c r="N72" s="140"/>
      <c r="S72" s="147" t="s">
        <v>69</v>
      </c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G72" s="140"/>
      <c r="AI72" s="147" t="s">
        <v>70</v>
      </c>
      <c r="AM72" s="140"/>
      <c r="AN72" s="140"/>
      <c r="AO72" s="140"/>
      <c r="AS72" s="147" t="s">
        <v>69</v>
      </c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G72" s="140"/>
      <c r="BI72" s="147" t="s">
        <v>70</v>
      </c>
      <c r="BJ72" s="140"/>
      <c r="BK72" s="140"/>
      <c r="BL72" s="140"/>
      <c r="BM72" s="140"/>
      <c r="BN72" s="140"/>
      <c r="BR72" s="140"/>
      <c r="BS72" s="140"/>
      <c r="BT72" s="140"/>
      <c r="BY72" s="134"/>
    </row>
    <row r="73" spans="1:77" ht="15" customHeight="1">
      <c r="A73" s="134"/>
      <c r="H73" s="140"/>
      <c r="I73" s="140"/>
      <c r="J73" s="140"/>
      <c r="K73" s="140"/>
      <c r="L73" s="140"/>
      <c r="M73" s="140"/>
      <c r="N73" s="140"/>
      <c r="AM73" s="140"/>
      <c r="AN73" s="140"/>
      <c r="AO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R73" s="140"/>
      <c r="BS73" s="140"/>
      <c r="BT73" s="140"/>
      <c r="BY73" s="134"/>
    </row>
    <row r="74" spans="1:77" ht="21.75" customHeight="1">
      <c r="A74" s="134"/>
      <c r="H74" s="140"/>
      <c r="I74" s="140"/>
      <c r="J74" s="140"/>
      <c r="K74" s="140"/>
      <c r="L74" s="140"/>
      <c r="M74" s="140"/>
      <c r="N74" s="140"/>
      <c r="O74" s="140"/>
      <c r="P74" s="413" t="str">
        <f>'Raw data &amp; Hourly Summary'!S12</f>
        <v>Great N Rd</v>
      </c>
      <c r="Q74" s="413"/>
      <c r="R74" s="413"/>
      <c r="S74" s="413"/>
      <c r="T74" s="413"/>
      <c r="U74" s="413"/>
      <c r="V74" s="413"/>
      <c r="W74" s="413"/>
      <c r="X74" s="413"/>
      <c r="Y74" s="413"/>
      <c r="Z74" s="413"/>
      <c r="AA74" s="413"/>
      <c r="AB74" s="413"/>
      <c r="AC74" s="413"/>
      <c r="AD74" s="413"/>
      <c r="AE74" s="413"/>
      <c r="AF74" s="413"/>
      <c r="AG74" s="413"/>
      <c r="AM74" s="140"/>
      <c r="AN74" s="140"/>
      <c r="AO74" s="140"/>
      <c r="AU74" s="414" t="str">
        <f>'Raw data &amp; Hourly Summary'!X12</f>
        <v>St Georges Rd</v>
      </c>
      <c r="AV74" s="414"/>
      <c r="AW74" s="414"/>
      <c r="AX74" s="414"/>
      <c r="AY74" s="414"/>
      <c r="AZ74" s="414"/>
      <c r="BA74" s="414"/>
      <c r="BB74" s="414"/>
      <c r="BC74" s="414"/>
      <c r="BD74" s="414"/>
      <c r="BE74" s="414"/>
      <c r="BF74" s="414"/>
      <c r="BG74" s="414"/>
      <c r="BH74" s="414"/>
      <c r="BI74" s="414"/>
      <c r="BJ74" s="414"/>
      <c r="BK74" s="414"/>
      <c r="BL74" s="414"/>
      <c r="BM74" s="140"/>
      <c r="BN74" s="140"/>
      <c r="BR74" s="140"/>
      <c r="BS74" s="140"/>
      <c r="BT74" s="140"/>
      <c r="BY74" s="134"/>
    </row>
    <row r="75" spans="1:77" ht="15" customHeight="1">
      <c r="A75" s="134"/>
      <c r="BY75" s="134"/>
    </row>
    <row r="76" spans="1:77" ht="15" customHeight="1">
      <c r="A76" s="134"/>
      <c r="BY76" s="134"/>
    </row>
    <row r="77" spans="1:77" ht="9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</row>
  </sheetData>
  <mergeCells count="17">
    <mergeCell ref="J22:J48"/>
    <mergeCell ref="AI21:AJ22"/>
    <mergeCell ref="AD12:AX12"/>
    <mergeCell ref="BR22:BR48"/>
    <mergeCell ref="AI24:AJ25"/>
    <mergeCell ref="BG30:BG32"/>
    <mergeCell ref="BI30:BI32"/>
    <mergeCell ref="AN40:AO40"/>
    <mergeCell ref="AN42:AO42"/>
    <mergeCell ref="S45:S47"/>
    <mergeCell ref="U45:U47"/>
    <mergeCell ref="AG61:AH62"/>
    <mergeCell ref="BC61:BD62"/>
    <mergeCell ref="AG64:AH65"/>
    <mergeCell ref="BC64:BD65"/>
    <mergeCell ref="P74:AG74"/>
    <mergeCell ref="AU74:BL74"/>
  </mergeCells>
  <phoneticPr fontId="1" type="noConversion"/>
  <pageMargins left="0.7" right="0.7" top="0.75" bottom="0.75" header="0.3" footer="0.3"/>
  <pageSetup paperSize="9" scale="5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Drop Down 1">
              <controlPr defaultSize="0" autoLine="0" autoPict="0">
                <anchor moveWithCells="1" sizeWithCells="1">
                  <from>
                    <xdr:col>4</xdr:col>
                    <xdr:colOff>0</xdr:colOff>
                    <xdr:row>13</xdr:row>
                    <xdr:rowOff>85725</xdr:rowOff>
                  </from>
                  <to>
                    <xdr:col>8</xdr:col>
                    <xdr:colOff>133350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Drop Down 2">
              <controlPr defaultSize="0" autoLine="0" autoPict="0">
                <anchor moveWithCells="1" sizeWithCells="1">
                  <from>
                    <xdr:col>9</xdr:col>
                    <xdr:colOff>266700</xdr:colOff>
                    <xdr:row>13</xdr:row>
                    <xdr:rowOff>85725</xdr:rowOff>
                  </from>
                  <to>
                    <xdr:col>15</xdr:col>
                    <xdr:colOff>266700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B218486A7A74BA097D75C7745E3AE" ma:contentTypeVersion="12" ma:contentTypeDescription="Create a new document." ma:contentTypeScope="" ma:versionID="0e8bf24b1bd9ab88fe34ef7ee135fe51">
  <xsd:schema xmlns:xsd="http://www.w3.org/2001/XMLSchema" xmlns:xs="http://www.w3.org/2001/XMLSchema" xmlns:p="http://schemas.microsoft.com/office/2006/metadata/properties" xmlns:ns2="ddf579d9-ebc8-4dcb-afd7-d4899032f363" xmlns:ns3="dfe12bdc-29e8-40aa-9559-082c87a4fc9d" targetNamespace="http://schemas.microsoft.com/office/2006/metadata/properties" ma:root="true" ma:fieldsID="6ed3805437e75c9f295ae144a381c154" ns2:_="" ns3:_="">
    <xsd:import namespace="ddf579d9-ebc8-4dcb-afd7-d4899032f363"/>
    <xsd:import namespace="dfe12bdc-29e8-40aa-9559-082c87a4fc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579d9-ebc8-4dcb-afd7-d4899032f3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4a1979a-bf26-4bda-8b01-ba803f01ae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12bdc-29e8-40aa-9559-082c87a4fc9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afb777e-1a3e-429a-b9eb-e3e3aaa905db}" ma:internalName="TaxCatchAll" ma:showField="CatchAllData" ma:web="dfe12bdc-29e8-40aa-9559-082c87a4fc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f579d9-ebc8-4dcb-afd7-d4899032f363">
      <Terms xmlns="http://schemas.microsoft.com/office/infopath/2007/PartnerControls"/>
    </lcf76f155ced4ddcb4097134ff3c332f>
    <TaxCatchAll xmlns="dfe12bdc-29e8-40aa-9559-082c87a4fc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B8A87-3452-41DC-81A7-03FB30B96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f579d9-ebc8-4dcb-afd7-d4899032f363"/>
    <ds:schemaRef ds:uri="dfe12bdc-29e8-40aa-9559-082c87a4fc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57B4E-0829-427D-90E1-AE5DDD568292}">
  <ds:schemaRefs>
    <ds:schemaRef ds:uri="http://schemas.microsoft.com/office/2006/metadata/properties"/>
    <ds:schemaRef ds:uri="http://schemas.microsoft.com/office/infopath/2007/PartnerControls"/>
    <ds:schemaRef ds:uri="ddf579d9-ebc8-4dcb-afd7-d4899032f363"/>
    <ds:schemaRef ds:uri="dfe12bdc-29e8-40aa-9559-082c87a4fc9d"/>
  </ds:schemaRefs>
</ds:datastoreItem>
</file>

<file path=customXml/itemProps3.xml><?xml version="1.0" encoding="utf-8"?>
<ds:datastoreItem xmlns:ds="http://schemas.openxmlformats.org/officeDocument/2006/customXml" ds:itemID="{0A44F051-0066-4D4A-9AFD-7A28F4653D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 data &amp; Hourly Summary</vt:lpstr>
      <vt:lpstr>Peak Hr Summary</vt:lpstr>
      <vt:lpstr>Intersection Diagram</vt:lpstr>
      <vt:lpstr>Intersection Diagram(Peak Time)</vt:lpstr>
      <vt:lpstr>'Intersection Diagram'!Print_Area</vt:lpstr>
      <vt:lpstr>'Intersection Diagram(Peak Time)'!Print_Area</vt:lpstr>
    </vt:vector>
  </TitlesOfParts>
  <Company>Skyhigh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&amp; harriet</dc:creator>
  <cp:lastModifiedBy>Ivan Velilla</cp:lastModifiedBy>
  <cp:lastPrinted>2012-12-05T03:17:13Z</cp:lastPrinted>
  <dcterms:created xsi:type="dcterms:W3CDTF">2007-02-01T00:59:10Z</dcterms:created>
  <dcterms:modified xsi:type="dcterms:W3CDTF">2026-05-10T23:00:09Z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0x01010068CB218486A7A74BA097D75C7745E3AE</vt:lpwstr>
  </property>
  <property fmtid="{D5CDD505-2E9C-101B-9397-08002B2CF9AE}" pid="3" name="MediaServiceImageTags">
    <vt:lpwstr/>
  </property>
</Properties>
</file>